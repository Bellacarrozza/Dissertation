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/>
  <workbookPr/>
  <mc:AlternateContent xmlns:mc="http://schemas.openxmlformats.org/markup-compatibility/2006">
    <mc:Choice Requires="x15">
      <x15ac:absPath xmlns:x15ac="http://schemas.microsoft.com/office/spreadsheetml/2010/11/ac" url="/Users/bellacarrozza/Desktop/"/>
    </mc:Choice>
  </mc:AlternateContent>
  <xr:revisionPtr revIDLastSave="0" documentId="8_{184906BF-CD02-AE43-A32F-B3BBE1EDB6DB}" xr6:coauthVersionLast="47" xr6:coauthVersionMax="47" xr10:uidLastSave="{00000000-0000-0000-0000-000000000000}"/>
  <bookViews>
    <workbookView xWindow="240" yWindow="500" windowWidth="14800" windowHeight="8020" xr2:uid="{00000000-000D-0000-FFFF-FFFF00000000}"/>
  </bookViews>
  <sheets>
    <sheet name="Sheet1" sheetId="1" r:id="rId1"/>
    <sheet name="VBAIX 6040 Data" sheetId="2" r:id="rId2"/>
    <sheet name="Active portfolio " sheetId="3" r:id="rId3"/>
  </sheets>
  <externalReferences>
    <externalReference r:id="rId4"/>
  </externalReferenc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4" i="1" l="1"/>
  <c r="W13" i="1"/>
  <c r="W12" i="1"/>
  <c r="W11" i="1"/>
  <c r="W10" i="1"/>
  <c r="W9" i="1"/>
  <c r="W8" i="1"/>
  <c r="W7" i="1"/>
  <c r="W6" i="1"/>
  <c r="W5" i="1"/>
  <c r="W4" i="1"/>
  <c r="W3" i="1"/>
  <c r="W2" i="1"/>
  <c r="W14" i="1" s="1"/>
  <c r="A60" i="3" a="1"/>
  <c r="A55" i="3" a="1"/>
  <c r="A50" i="3" a="1"/>
  <c r="A45" i="3" a="1"/>
  <c r="A39" i="3" a="1"/>
  <c r="A34" i="3" a="1"/>
  <c r="A29" i="3" a="1"/>
  <c r="A24" i="3" a="1"/>
  <c r="A18" i="3" a="1"/>
  <c r="A18" i="3" s="1"/>
  <c r="V14" i="3"/>
  <c r="W13" i="3"/>
  <c r="U13" i="3"/>
  <c r="A13" i="3" a="1"/>
  <c r="W12" i="3"/>
  <c r="W11" i="3"/>
  <c r="U11" i="3"/>
  <c r="W10" i="3"/>
  <c r="U10" i="3"/>
  <c r="W9" i="3"/>
  <c r="U9" i="3"/>
  <c r="W8" i="3"/>
  <c r="U8" i="3"/>
  <c r="A8" i="3" a="1"/>
  <c r="W7" i="3"/>
  <c r="U7" i="3"/>
  <c r="W6" i="3"/>
  <c r="U6" i="3"/>
  <c r="W5" i="3"/>
  <c r="U5" i="3"/>
  <c r="W4" i="3"/>
  <c r="U4" i="3"/>
  <c r="W3" i="3"/>
  <c r="U3" i="3"/>
  <c r="A3" i="3" a="1"/>
  <c r="W2" i="3"/>
  <c r="W14" i="3" s="1"/>
  <c r="U2" i="3"/>
  <c r="B67" i="3" s="1" a="1"/>
  <c r="B67" i="3" s="1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G18" i="2"/>
  <c r="C18" i="2"/>
  <c r="G17" i="2"/>
  <c r="C17" i="2"/>
  <c r="G16" i="2"/>
  <c r="C16" i="2"/>
  <c r="G15" i="2"/>
  <c r="C15" i="2"/>
  <c r="G14" i="2"/>
  <c r="C14" i="2"/>
  <c r="G13" i="2"/>
  <c r="C13" i="2"/>
  <c r="G12" i="2"/>
  <c r="C12" i="2"/>
  <c r="G11" i="2"/>
  <c r="C11" i="2"/>
  <c r="G10" i="2"/>
  <c r="C10" i="2"/>
  <c r="G9" i="2"/>
  <c r="C9" i="2"/>
  <c r="G8" i="2"/>
  <c r="C8" i="2"/>
  <c r="G7" i="2"/>
  <c r="C7" i="2"/>
  <c r="G6" i="2"/>
  <c r="C6" i="2"/>
  <c r="G5" i="2"/>
  <c r="C5" i="2"/>
  <c r="G4" i="2"/>
  <c r="C4" i="2"/>
  <c r="G3" i="2"/>
  <c r="C3" i="2"/>
  <c r="G2" i="2"/>
  <c r="C2" i="2"/>
  <c r="A68" i="3" l="1" a="1"/>
  <c r="A68" i="3" s="1"/>
  <c r="A3" i="3"/>
  <c r="C68" i="3" a="1"/>
  <c r="C68" i="3" s="1"/>
  <c r="A8" i="3"/>
  <c r="D68" i="3" a="1"/>
  <c r="D68" i="3" s="1"/>
  <c r="A13" i="3"/>
  <c r="E68" i="3" a="1"/>
  <c r="E68" i="3" s="1"/>
  <c r="A24" i="3"/>
  <c r="F68" i="3" a="1"/>
  <c r="F68" i="3" s="1"/>
  <c r="A29" i="3"/>
  <c r="G68" i="3" a="1"/>
  <c r="G68" i="3" s="1"/>
  <c r="A34" i="3"/>
  <c r="H68" i="3" a="1"/>
  <c r="H68" i="3" s="1"/>
  <c r="A39" i="3"/>
  <c r="I68" i="3" a="1"/>
  <c r="I68" i="3" s="1"/>
  <c r="A45" i="3"/>
  <c r="K68" i="3" a="1"/>
  <c r="K68" i="3" s="1"/>
  <c r="J68" i="3" a="1"/>
  <c r="J68" i="3" s="1"/>
  <c r="A50" i="3"/>
  <c r="L68" i="3" a="1"/>
  <c r="L68" i="3" s="1"/>
  <c r="A55" i="3"/>
  <c r="M68" i="3" a="1"/>
  <c r="M68" i="3" s="1"/>
  <c r="A60" i="3"/>
  <c r="E2" i="2"/>
  <c r="D2" i="2" a="1"/>
  <c r="D2" i="2" s="1"/>
  <c r="J2" i="2"/>
  <c r="I2" i="2"/>
  <c r="E14" i="2"/>
  <c r="J3" i="2" s="1"/>
  <c r="D14" i="2" a="1"/>
  <c r="D14" i="2" s="1"/>
  <c r="I3" i="2" s="1"/>
  <c r="E26" i="2"/>
  <c r="J4" i="2" s="1"/>
  <c r="D26" i="2" a="1"/>
  <c r="D26" i="2" s="1"/>
  <c r="I4" i="2" s="1"/>
  <c r="E38" i="2"/>
  <c r="J5" i="2" s="1"/>
  <c r="D38" i="2" a="1"/>
  <c r="D38" i="2" s="1"/>
  <c r="I5" i="2" s="1"/>
  <c r="E50" i="2"/>
  <c r="J6" i="2" s="1"/>
  <c r="D50" i="2" a="1"/>
  <c r="D50" i="2" s="1"/>
  <c r="I6" i="2" s="1"/>
  <c r="E62" i="2"/>
  <c r="J7" i="2" s="1"/>
  <c r="D62" i="2" a="1"/>
  <c r="D62" i="2" s="1"/>
  <c r="I7" i="2" s="1"/>
  <c r="E74" i="2"/>
  <c r="J8" i="2" s="1"/>
  <c r="D74" i="2" a="1"/>
  <c r="D74" i="2" s="1"/>
  <c r="I8" i="2" s="1"/>
  <c r="E86" i="2"/>
  <c r="J9" i="2" s="1"/>
  <c r="D86" i="2" a="1"/>
  <c r="D86" i="2" s="1"/>
  <c r="I9" i="2" s="1"/>
  <c r="E98" i="2"/>
  <c r="J10" i="2" s="1"/>
  <c r="D98" i="2" a="1"/>
  <c r="D98" i="2" s="1"/>
  <c r="I10" i="2" s="1"/>
  <c r="E110" i="2"/>
  <c r="J11" i="2" s="1"/>
  <c r="D110" i="2" a="1"/>
  <c r="D110" i="2" s="1"/>
  <c r="I11" i="2" s="1"/>
  <c r="E122" i="2"/>
  <c r="J12" i="2" s="1"/>
  <c r="D122" i="2" a="1"/>
  <c r="D122" i="2" s="1"/>
  <c r="I12" i="2" s="1"/>
  <c r="E134" i="2"/>
  <c r="J13" i="2" s="1"/>
  <c r="D134" i="2" a="1"/>
  <c r="D134" i="2" s="1"/>
  <c r="I13" i="2" s="1"/>
  <c r="E146" i="2"/>
  <c r="J14" i="2" s="1"/>
  <c r="D146" i="2" a="1"/>
  <c r="D146" i="2" s="1"/>
  <c r="I14" i="2" s="1"/>
  <c r="E158" i="2"/>
  <c r="J15" i="2" s="1"/>
  <c r="D158" i="2" a="1"/>
  <c r="D158" i="2" s="1"/>
  <c r="I15" i="2" s="1"/>
  <c r="E170" i="2"/>
  <c r="J16" i="2" s="1"/>
  <c r="D170" i="2" a="1"/>
  <c r="D170" i="2" s="1"/>
  <c r="I16" i="2" s="1"/>
  <c r="E182" i="2"/>
  <c r="J17" i="2" s="1"/>
  <c r="D182" i="2" a="1"/>
  <c r="D182" i="2" s="1"/>
  <c r="I17" i="2" s="1"/>
  <c r="E194" i="2"/>
  <c r="J18" i="2" s="1"/>
  <c r="D194" i="2" a="1"/>
  <c r="D194" i="2" s="1"/>
  <c r="I18" i="2" s="1"/>
  <c r="E206" i="2"/>
  <c r="D206" i="2" a="1"/>
  <c r="D206" i="2" s="1"/>
  <c r="E218" i="2"/>
  <c r="D218" i="2" a="1"/>
  <c r="D218" i="2" s="1"/>
  <c r="E230" i="2"/>
  <c r="D230" i="2" a="1"/>
  <c r="D230" i="2" s="1"/>
  <c r="E242" i="2"/>
  <c r="D242" i="2" a="1"/>
  <c r="D242" i="2" s="1"/>
  <c r="E254" i="2"/>
  <c r="D254" i="2" a="1"/>
  <c r="D254" i="2" s="1"/>
  <c r="E266" i="2"/>
  <c r="D266" i="2" a="1"/>
  <c r="D266" i="2" s="1"/>
  <c r="E278" i="2"/>
  <c r="D278" i="2" a="1"/>
  <c r="D278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<sst xmlns="http://schemas.openxmlformats.org/spreadsheetml/2006/main" count="123" uniqueCount="34">
  <si>
    <t>EQUITIES</t>
  </si>
  <si>
    <t>Assets</t>
  </si>
  <si>
    <t xml:space="preserve">Weight </t>
  </si>
  <si>
    <t xml:space="preserve">Investment </t>
  </si>
  <si>
    <t>VV</t>
  </si>
  <si>
    <t xml:space="preserve">Assumptions </t>
  </si>
  <si>
    <t>Year</t>
  </si>
  <si>
    <t>VB</t>
  </si>
  <si>
    <t>Returns (%)</t>
  </si>
  <si>
    <t>VTIAX</t>
  </si>
  <si>
    <t>StDev</t>
  </si>
  <si>
    <t>VWO</t>
  </si>
  <si>
    <t>BND</t>
  </si>
  <si>
    <t>VWEXS</t>
  </si>
  <si>
    <t>VFTSX</t>
  </si>
  <si>
    <t>VMBS</t>
  </si>
  <si>
    <t>VNQ REIT</t>
  </si>
  <si>
    <t xml:space="preserve">QAI HYLI HF </t>
  </si>
  <si>
    <t xml:space="preserve">IXC Energy </t>
  </si>
  <si>
    <t xml:space="preserve">RLY Multi-Asset </t>
  </si>
  <si>
    <t>Total</t>
  </si>
  <si>
    <t xml:space="preserve">FIXED INCOME </t>
  </si>
  <si>
    <t>ALTERNATIVES</t>
  </si>
  <si>
    <t xml:space="preserve">Correlation matrix </t>
  </si>
  <si>
    <t>Pricing Date</t>
  </si>
  <si>
    <t>VBIA.X | NAV Per Share (Monthly)($)</t>
  </si>
  <si>
    <t xml:space="preserve">Monthly Returns (%) </t>
  </si>
  <si>
    <t xml:space="preserve">Yearly Returns (%) </t>
  </si>
  <si>
    <t xml:space="preserve">Yearly STDEV </t>
  </si>
  <si>
    <t xml:space="preserve">Full year </t>
  </si>
  <si>
    <t>Vanguard Valley Forge Funds - Vanguard Balanced Index Fund | Stock Chart</t>
  </si>
  <si>
    <t/>
  </si>
  <si>
    <t>VBIN.X (MI Key: 5899279; SPCIQ  Key: 28113527)</t>
  </si>
  <si>
    <t>See Data Tab for underlying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</si>
</sst>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0.0000"/>
    <numFmt numFmtId="165" formatCode="#,##0.00;\(#,##0.00\)"/>
    <numFmt numFmtId="166" formatCode="#,##0;\(#,##0\)"/>
  </numFmts>
  <fonts count="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name val="Calibri"/>
      <family val="2"/>
    </font>
    <font>
      <b/>
      <sz val="11"/>
      <color theme="1"/>
      <name val="Aptos Narrow"/>
      <family val="2"/>
      <scheme val="minor"/>
    </font>
    <font>
      <b/>
      <sz val="14"/>
      <name val="Calibri"/>
      <family val="2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CCC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1">
    <xf numFmtId="0" fontId="0" fillId="0" borderId="0" xfId="0"/>
    <xf numFmtId="0" fontId="2" fillId="2" borderId="0" xfId="0" applyFont="1" applyFill="1" applyAlignment="1">
      <alignment horizontal="left" vertical="top"/>
    </xf>
    <xf numFmtId="0" fontId="2" fillId="2" borderId="0" xfId="0" applyFont="1" applyFill="1" applyAlignment="1">
      <alignment horizontal="right" vertical="top"/>
    </xf>
    <xf numFmtId="0" fontId="3" fillId="3" borderId="0" xfId="0" applyFont="1" applyFill="1"/>
    <xf numFmtId="164" fontId="3" fillId="3" borderId="0" xfId="0" applyNumberFormat="1" applyFont="1" applyFill="1"/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14" fontId="0" fillId="0" borderId="0" xfId="0" applyNumberFormat="1" applyAlignment="1">
      <alignment horizontal="left" vertical="top" wrapText="1"/>
    </xf>
    <xf numFmtId="165" fontId="0" fillId="0" borderId="0" xfId="0" applyNumberFormat="1" applyAlignment="1">
      <alignment horizontal="right" vertical="top" wrapText="1"/>
    </xf>
    <xf numFmtId="10" fontId="0" fillId="0" borderId="0" xfId="1" applyNumberFormat="1" applyFont="1" applyFill="1"/>
    <xf numFmtId="164" fontId="0" fillId="0" borderId="0" xfId="0" applyNumberFormat="1"/>
    <xf numFmtId="14" fontId="0" fillId="0" borderId="4" xfId="0" applyNumberFormat="1" applyBorder="1"/>
    <xf numFmtId="1" fontId="0" fillId="0" borderId="5" xfId="0" applyNumberFormat="1" applyBorder="1"/>
    <xf numFmtId="10" fontId="0" fillId="0" borderId="0" xfId="0" applyNumberFormat="1"/>
    <xf numFmtId="0" fontId="0" fillId="0" borderId="5" xfId="0" applyBorder="1"/>
    <xf numFmtId="0" fontId="4" fillId="0" borderId="0" xfId="0" applyFont="1" applyAlignment="1">
      <alignment horizontal="left"/>
    </xf>
    <xf numFmtId="0" fontId="4" fillId="0" borderId="0" xfId="0" applyFont="1"/>
    <xf numFmtId="0" fontId="0" fillId="0" borderId="0" xfId="0" applyAlignment="1">
      <alignment horizontal="left" vertical="top"/>
    </xf>
    <xf numFmtId="0" fontId="3" fillId="0" borderId="0" xfId="0" applyFont="1" applyAlignment="1">
      <alignment horizontal="left" vertical="top"/>
    </xf>
    <xf numFmtId="14" fontId="0" fillId="0" borderId="6" xfId="0" applyNumberFormat="1" applyBorder="1"/>
    <xf numFmtId="1" fontId="0" fillId="0" borderId="7" xfId="0" applyNumberFormat="1" applyBorder="1"/>
    <xf numFmtId="10" fontId="0" fillId="0" borderId="8" xfId="0" applyNumberFormat="1" applyBorder="1"/>
    <xf numFmtId="0" fontId="0" fillId="0" borderId="7" xfId="0" applyBorder="1"/>
    <xf numFmtId="166" fontId="0" fillId="0" borderId="0" xfId="0" applyNumberFormat="1" applyAlignment="1">
      <alignment horizontal="right" vertical="top" wrapText="1"/>
    </xf>
    <xf numFmtId="0" fontId="3" fillId="5" borderId="0" xfId="0" applyFont="1" applyFill="1"/>
    <xf numFmtId="0" fontId="0" fillId="5" borderId="0" xfId="0" applyFill="1"/>
    <xf numFmtId="0" fontId="3" fillId="0" borderId="0" xfId="0" applyFont="1"/>
    <xf numFmtId="10" fontId="3" fillId="0" borderId="0" xfId="0" applyNumberFormat="1" applyFont="1"/>
    <xf numFmtId="0" fontId="3" fillId="6" borderId="0" xfId="0" applyFont="1" applyFill="1"/>
    <xf numFmtId="44" fontId="0" fillId="0" borderId="0" xfId="0" applyNumberFormat="1"/>
    <xf numFmtId="164" fontId="3" fillId="0" borderId="0" xfId="0" applyNumberFormat="1" applyFont="1"/>
    <xf numFmtId="44" fontId="3" fillId="0" borderId="0" xfId="0" applyNumberFormat="1" applyFont="1"/>
    <xf numFmtId="0" fontId="3" fillId="7" borderId="0" xfId="0" applyFont="1" applyFill="1"/>
    <xf numFmtId="0" fontId="0" fillId="7" borderId="0" xfId="0" applyFill="1"/>
    <xf numFmtId="0" fontId="3" fillId="8" borderId="0" xfId="0" applyFont="1" applyFill="1"/>
    <xf numFmtId="0" fontId="0" fillId="8" borderId="0" xfId="0" applyFill="1"/>
    <xf numFmtId="0" fontId="5" fillId="9" borderId="0" xfId="0" applyFont="1" applyFill="1"/>
    <xf numFmtId="0" fontId="6" fillId="9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left" vertical="top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85725</xdr:colOff>
      <xdr:row>7</xdr:row>
      <xdr:rowOff>28575</xdr:rowOff>
    </xdr:from>
    <xdr:to>
      <xdr:col>39</xdr:col>
      <xdr:colOff>514350</xdr:colOff>
      <xdr:row>44</xdr:row>
      <xdr:rowOff>66675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9D394C0-810A-44FE-9E6B-4FAEAAEDF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44550" y="1409700"/>
          <a:ext cx="15668625" cy="70866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ellacarrozza/Downloads/Dissertatio%20portfolio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BAIX 6040 Data"/>
      <sheetName val="Active portfolio "/>
      <sheetName val="VV equity data"/>
      <sheetName val="VB equity data"/>
      <sheetName val="VTIAX equity data"/>
      <sheetName val="VWO equity data"/>
      <sheetName val="BND bond data"/>
      <sheetName val="VWESX bond data"/>
      <sheetName val="VFSTX bond data"/>
      <sheetName val="VMBS bond data"/>
      <sheetName val="VNQ REIT data"/>
      <sheetName val="QAI HYLI HF data"/>
      <sheetName val="IXC Energy Data"/>
      <sheetName val="RLY Multi Asset Data"/>
    </sheetNames>
    <sheetDataSet>
      <sheetData sheetId="0"/>
      <sheetData sheetId="1"/>
      <sheetData sheetId="2">
        <row r="1">
          <cell r="H1" t="str">
            <v>Year</v>
          </cell>
          <cell r="I1" t="str">
            <v>Returns (%)</v>
          </cell>
          <cell r="J1" t="str">
            <v>StDev</v>
          </cell>
        </row>
        <row r="2">
          <cell r="H2">
            <v>2024</v>
          </cell>
          <cell r="I2">
            <v>0.23630529452211779</v>
          </cell>
          <cell r="J2">
            <v>2.9784877287210326E-2</v>
          </cell>
        </row>
        <row r="3">
          <cell r="H3">
            <v>2023</v>
          </cell>
          <cell r="I3">
            <v>0.25229621125143575</v>
          </cell>
          <cell r="J3">
            <v>4.1118230110667765E-2</v>
          </cell>
        </row>
        <row r="4">
          <cell r="H4">
            <v>2022</v>
          </cell>
          <cell r="I4">
            <v>-0.21183603293819586</v>
          </cell>
          <cell r="J4">
            <v>6.4743306661421446E-2</v>
          </cell>
        </row>
        <row r="5">
          <cell r="H5">
            <v>2021</v>
          </cell>
          <cell r="I5">
            <v>0.25765335154205049</v>
          </cell>
          <cell r="J5">
            <v>3.0682644183264971E-2</v>
          </cell>
        </row>
        <row r="6">
          <cell r="H6">
            <v>2020</v>
          </cell>
          <cell r="I6">
            <v>0.18871753246753231</v>
          </cell>
          <cell r="J6">
            <v>7.3697180118202171E-2</v>
          </cell>
        </row>
        <row r="7">
          <cell r="H7">
            <v>2019</v>
          </cell>
          <cell r="I7">
            <v>0.28713216089152027</v>
          </cell>
          <cell r="J7">
            <v>3.5402911389036847E-2</v>
          </cell>
        </row>
        <row r="8">
          <cell r="H8">
            <v>2018</v>
          </cell>
          <cell r="I8">
            <v>-6.2979278838310004E-2</v>
          </cell>
          <cell r="J8">
            <v>4.2832775702203243E-2</v>
          </cell>
        </row>
        <row r="9">
          <cell r="H9">
            <v>2017</v>
          </cell>
          <cell r="I9">
            <v>0.19742111946859353</v>
          </cell>
          <cell r="J9">
            <v>1.1878009961479976E-2</v>
          </cell>
        </row>
        <row r="10">
          <cell r="H10">
            <v>2016</v>
          </cell>
          <cell r="I10">
            <v>9.486631016042768E-2</v>
          </cell>
          <cell r="J10">
            <v>2.868412408848197E-2</v>
          </cell>
        </row>
        <row r="11">
          <cell r="H11">
            <v>2015</v>
          </cell>
          <cell r="I11">
            <v>-9.4289649327262692E-3</v>
          </cell>
          <cell r="J11">
            <v>3.8578414243559754E-2</v>
          </cell>
        </row>
        <row r="12">
          <cell r="H12">
            <v>2014</v>
          </cell>
          <cell r="I12">
            <v>0.11308962264150879</v>
          </cell>
          <cell r="J12">
            <v>2.3566691668552096E-2</v>
          </cell>
        </row>
        <row r="13">
          <cell r="H13">
            <v>2013</v>
          </cell>
          <cell r="I13">
            <v>0.30141190914671512</v>
          </cell>
          <cell r="J13">
            <v>2.3968390944283387E-2</v>
          </cell>
        </row>
        <row r="14">
          <cell r="H14">
            <v>2012</v>
          </cell>
          <cell r="I14">
            <v>0.13717277486910939</v>
          </cell>
          <cell r="J14">
            <v>2.8799590474161897E-2</v>
          </cell>
        </row>
        <row r="15">
          <cell r="H15">
            <v>2011</v>
          </cell>
          <cell r="I15">
            <v>-5.3810102412775729E-3</v>
          </cell>
          <cell r="J15">
            <v>4.5714959915350253E-2</v>
          </cell>
        </row>
      </sheetData>
      <sheetData sheetId="3">
        <row r="1">
          <cell r="H1" t="str">
            <v>Year</v>
          </cell>
          <cell r="I1" t="str">
            <v>Returns (%)</v>
          </cell>
          <cell r="J1" t="str">
            <v>StDev</v>
          </cell>
        </row>
        <row r="2">
          <cell r="H2">
            <v>2024</v>
          </cell>
          <cell r="I2">
            <v>0.12633009890779512</v>
          </cell>
          <cell r="J2">
            <v>5.2272758115444178E-2</v>
          </cell>
        </row>
        <row r="3">
          <cell r="H3">
            <v>2023</v>
          </cell>
          <cell r="I3">
            <v>0.16230794377247504</v>
          </cell>
          <cell r="J3">
            <v>6.1961677017082488E-2</v>
          </cell>
        </row>
        <row r="4">
          <cell r="H4">
            <v>2022</v>
          </cell>
          <cell r="I4">
            <v>-0.18791203929029665</v>
          </cell>
          <cell r="J4">
            <v>6.9218736185078358E-2</v>
          </cell>
        </row>
        <row r="5">
          <cell r="H5">
            <v>2021</v>
          </cell>
          <cell r="I5">
            <v>0.16093075816724878</v>
          </cell>
          <cell r="J5">
            <v>3.0257745603533153E-2</v>
          </cell>
        </row>
        <row r="6">
          <cell r="H6">
            <v>2020</v>
          </cell>
          <cell r="I6">
            <v>0.17531997102149233</v>
          </cell>
          <cell r="J6">
            <v>9.8067938221790843E-2</v>
          </cell>
        </row>
        <row r="7">
          <cell r="H7">
            <v>2019</v>
          </cell>
          <cell r="I7">
            <v>0.2549435563300253</v>
          </cell>
          <cell r="J7">
            <v>4.6808588816626737E-2</v>
          </cell>
        </row>
        <row r="8">
          <cell r="H8">
            <v>2018</v>
          </cell>
          <cell r="I8">
            <v>-0.10696887686062273</v>
          </cell>
          <cell r="J8">
            <v>5.0935914954361637E-2</v>
          </cell>
        </row>
        <row r="9">
          <cell r="H9">
            <v>2017</v>
          </cell>
          <cell r="I9">
            <v>0.14609181141439187</v>
          </cell>
          <cell r="J9">
            <v>1.5262031667162942E-2</v>
          </cell>
        </row>
        <row r="10">
          <cell r="H10">
            <v>2016</v>
          </cell>
          <cell r="I10">
            <v>0.1655820679681852</v>
          </cell>
          <cell r="J10">
            <v>4.3315876585390468E-2</v>
          </cell>
        </row>
        <row r="11">
          <cell r="H11">
            <v>2015</v>
          </cell>
          <cell r="I11">
            <v>-5.1602948739928323E-2</v>
          </cell>
          <cell r="J11">
            <v>3.744191943709943E-2</v>
          </cell>
        </row>
        <row r="12">
          <cell r="H12">
            <v>2014</v>
          </cell>
          <cell r="I12">
            <v>6.102773988176402E-2</v>
          </cell>
          <cell r="J12">
            <v>3.6444962156509678E-2</v>
          </cell>
        </row>
        <row r="13">
          <cell r="H13">
            <v>2013</v>
          </cell>
          <cell r="I13">
            <v>0.35908529048207738</v>
          </cell>
          <cell r="J13">
            <v>2.9445229337379968E-2</v>
          </cell>
        </row>
        <row r="14">
          <cell r="H14">
            <v>2012</v>
          </cell>
          <cell r="I14">
            <v>0.16118845988230257</v>
          </cell>
          <cell r="J14">
            <v>3.3878729692785305E-2</v>
          </cell>
        </row>
        <row r="15">
          <cell r="H15">
            <v>2011</v>
          </cell>
          <cell r="I15">
            <v>-4.0754509155995766E-2</v>
          </cell>
          <cell r="J15">
            <v>6.3999337591763975E-2</v>
          </cell>
        </row>
      </sheetData>
      <sheetData sheetId="4">
        <row r="1">
          <cell r="H1" t="str">
            <v>Year</v>
          </cell>
          <cell r="I1" t="str">
            <v>Returns (%)</v>
          </cell>
          <cell r="J1" t="str">
            <v>StDev</v>
          </cell>
        </row>
        <row r="2">
          <cell r="H2">
            <v>2024</v>
          </cell>
          <cell r="I2">
            <v>1.6735679779158019E-2</v>
          </cell>
          <cell r="J2">
            <v>2.8986702974204876E-2</v>
          </cell>
        </row>
        <row r="3">
          <cell r="H3">
            <v>2023</v>
          </cell>
          <cell r="I3">
            <v>0.12064965197215782</v>
          </cell>
          <cell r="J3">
            <v>4.6109914592995634E-2</v>
          </cell>
        </row>
        <row r="4">
          <cell r="H4">
            <v>2022</v>
          </cell>
          <cell r="I4">
            <v>-0.18640868334119864</v>
          </cell>
          <cell r="J4">
            <v>6.1132111077121118E-2</v>
          </cell>
        </row>
        <row r="5">
          <cell r="H5">
            <v>2021</v>
          </cell>
          <cell r="I5">
            <v>5.6682180851063357E-2</v>
          </cell>
          <cell r="J5">
            <v>2.4716973068882892E-2</v>
          </cell>
        </row>
        <row r="6">
          <cell r="H6">
            <v>2020</v>
          </cell>
          <cell r="I6">
            <v>8.0265756868378224E-2</v>
          </cell>
          <cell r="J6">
            <v>7.3259639636772289E-2</v>
          </cell>
        </row>
        <row r="7">
          <cell r="H7">
            <v>2019</v>
          </cell>
          <cell r="I7">
            <v>0.17937314697162177</v>
          </cell>
          <cell r="J7">
            <v>3.3022420014299975E-2</v>
          </cell>
        </row>
        <row r="8">
          <cell r="H8">
            <v>2018</v>
          </cell>
          <cell r="I8">
            <v>-0.16880830839640903</v>
          </cell>
          <cell r="J8">
            <v>3.7864706492339889E-2</v>
          </cell>
        </row>
        <row r="9">
          <cell r="H9">
            <v>2017</v>
          </cell>
          <cell r="I9">
            <v>0.23823016564952004</v>
          </cell>
          <cell r="J9">
            <v>1.2497749886718184E-2</v>
          </cell>
        </row>
        <row r="10">
          <cell r="H10">
            <v>2016</v>
          </cell>
          <cell r="I10">
            <v>1.7069385945466697E-2</v>
          </cell>
          <cell r="J10">
            <v>3.4132823876751747E-2</v>
          </cell>
        </row>
        <row r="11">
          <cell r="H11">
            <v>2015</v>
          </cell>
          <cell r="I11">
            <v>-6.6818369880016992E-2</v>
          </cell>
          <cell r="J11">
            <v>4.0358400738054356E-2</v>
          </cell>
        </row>
        <row r="12">
          <cell r="H12">
            <v>2014</v>
          </cell>
          <cell r="I12">
            <v>-7.7128675066819641E-2</v>
          </cell>
          <cell r="J12">
            <v>3.1410605141103477E-2</v>
          </cell>
        </row>
        <row r="13">
          <cell r="H13">
            <v>2013</v>
          </cell>
          <cell r="I13">
            <v>0.11281070745697863</v>
          </cell>
          <cell r="J13">
            <v>3.3129769146367498E-2</v>
          </cell>
        </row>
        <row r="14">
          <cell r="H14">
            <v>2012</v>
          </cell>
          <cell r="I14">
            <v>0.15085574572127114</v>
          </cell>
          <cell r="J14">
            <v>4.4637344542138739E-2</v>
          </cell>
        </row>
        <row r="15">
          <cell r="H15">
            <v>2011</v>
          </cell>
          <cell r="I15">
            <v>-0.18003207698476364</v>
          </cell>
          <cell r="J15">
            <v>5.9870284705858444E-2</v>
          </cell>
        </row>
      </sheetData>
      <sheetData sheetId="5">
        <row r="1">
          <cell r="H1" t="str">
            <v>Year</v>
          </cell>
          <cell r="I1" t="str">
            <v>Returns (%)</v>
          </cell>
          <cell r="J1" t="str">
            <v>StDev</v>
          </cell>
        </row>
        <row r="2">
          <cell r="H2">
            <v>2024</v>
          </cell>
          <cell r="I2">
            <v>7.1532846715328446E-2</v>
          </cell>
          <cell r="J2">
            <v>2.9714537894229551E-2</v>
          </cell>
        </row>
        <row r="3">
          <cell r="H3">
            <v>2023</v>
          </cell>
          <cell r="I3">
            <v>5.4386865059004696E-2</v>
          </cell>
          <cell r="J3">
            <v>4.8694448378477286E-2</v>
          </cell>
        </row>
        <row r="4">
          <cell r="H4">
            <v>2022</v>
          </cell>
          <cell r="I4">
            <v>-0.21188839466235354</v>
          </cell>
          <cell r="J4">
            <v>5.7570201274414506E-2</v>
          </cell>
        </row>
        <row r="5">
          <cell r="H5">
            <v>2021</v>
          </cell>
          <cell r="I5">
            <v>-1.2971462781879883E-2</v>
          </cell>
          <cell r="J5">
            <v>2.7022334824083838E-2</v>
          </cell>
        </row>
        <row r="6">
          <cell r="H6">
            <v>2020</v>
          </cell>
          <cell r="I6">
            <v>0.12682707443220176</v>
          </cell>
          <cell r="J6">
            <v>7.1724369289068834E-2</v>
          </cell>
        </row>
        <row r="7">
          <cell r="H7">
            <v>2019</v>
          </cell>
          <cell r="I7">
            <v>0.16719160104986863</v>
          </cell>
          <cell r="J7">
            <v>4.1296575047821894E-2</v>
          </cell>
        </row>
        <row r="8">
          <cell r="H8">
            <v>2018</v>
          </cell>
          <cell r="I8">
            <v>-0.17011544325854955</v>
          </cell>
          <cell r="J8">
            <v>4.6309633304833786E-2</v>
          </cell>
        </row>
        <row r="9">
          <cell r="H9">
            <v>2017</v>
          </cell>
          <cell r="I9">
            <v>0.28311906092789307</v>
          </cell>
          <cell r="J9">
            <v>2.069530586227903E-2</v>
          </cell>
        </row>
        <row r="10">
          <cell r="H10">
            <v>2016</v>
          </cell>
          <cell r="I10">
            <v>9.3855090186486967E-2</v>
          </cell>
          <cell r="J10">
            <v>4.62251122364618E-2</v>
          </cell>
        </row>
        <row r="11">
          <cell r="H11">
            <v>2015</v>
          </cell>
          <cell r="I11">
            <v>-0.18265867066466746</v>
          </cell>
          <cell r="J11">
            <v>4.8304219789800977E-2</v>
          </cell>
        </row>
        <row r="12">
          <cell r="H12">
            <v>2014</v>
          </cell>
          <cell r="I12">
            <v>-2.72241127856101E-2</v>
          </cell>
          <cell r="J12">
            <v>4.3812930990456037E-2</v>
          </cell>
        </row>
        <row r="13">
          <cell r="H13">
            <v>2013</v>
          </cell>
          <cell r="I13">
            <v>-7.6128452728497664E-2</v>
          </cell>
          <cell r="J13">
            <v>3.535885075101939E-2</v>
          </cell>
        </row>
        <row r="14">
          <cell r="H14">
            <v>2012</v>
          </cell>
          <cell r="I14">
            <v>0.16540172729651914</v>
          </cell>
          <cell r="J14">
            <v>5.2080841172682663E-2</v>
          </cell>
        </row>
        <row r="15">
          <cell r="H15">
            <v>2011</v>
          </cell>
          <cell r="I15">
            <v>-0.20643821391484918</v>
          </cell>
          <cell r="J15">
            <v>7.9184630267108091E-2</v>
          </cell>
        </row>
      </sheetData>
      <sheetData sheetId="6">
        <row r="1">
          <cell r="H1" t="str">
            <v>Year</v>
          </cell>
          <cell r="I1" t="str">
            <v>Returns (%)</v>
          </cell>
          <cell r="J1" t="str">
            <v>StDev</v>
          </cell>
        </row>
        <row r="2">
          <cell r="H2">
            <v>2024</v>
          </cell>
          <cell r="I2">
            <v>-2.2297756628144483E-2</v>
          </cell>
          <cell r="J2">
            <v>1.6340263607334943E-2</v>
          </cell>
        </row>
        <row r="3">
          <cell r="H3">
            <v>2023</v>
          </cell>
          <cell r="I3">
            <v>2.3802895322939666E-2</v>
          </cell>
          <cell r="J3">
            <v>2.3363931667498807E-2</v>
          </cell>
        </row>
        <row r="4">
          <cell r="H4">
            <v>2022</v>
          </cell>
          <cell r="I4">
            <v>-0.15233038348082595</v>
          </cell>
          <cell r="J4">
            <v>2.2823484711387551E-2</v>
          </cell>
        </row>
        <row r="5">
          <cell r="H5">
            <v>2021</v>
          </cell>
          <cell r="I5">
            <v>-3.9006690100918617E-2</v>
          </cell>
          <cell r="J5">
            <v>8.3974030544195881E-3</v>
          </cell>
        </row>
        <row r="6">
          <cell r="H6">
            <v>2020</v>
          </cell>
          <cell r="I6">
            <v>5.1633675172907179E-2</v>
          </cell>
          <cell r="J6">
            <v>1.223682692949548E-2</v>
          </cell>
        </row>
        <row r="7">
          <cell r="H7">
            <v>2019</v>
          </cell>
          <cell r="I7">
            <v>5.8704709001389244E-2</v>
          </cell>
          <cell r="J7">
            <v>1.017523627881875E-2</v>
          </cell>
        </row>
        <row r="8">
          <cell r="H8">
            <v>2018</v>
          </cell>
          <cell r="I8">
            <v>-2.8932205467696481E-2</v>
          </cell>
          <cell r="J8">
            <v>8.2750567492192763E-3</v>
          </cell>
        </row>
        <row r="9">
          <cell r="H9">
            <v>2017</v>
          </cell>
          <cell r="I9">
            <v>9.6546602302260975E-3</v>
          </cell>
          <cell r="J9">
            <v>3.9451299924629212E-3</v>
          </cell>
        </row>
        <row r="10">
          <cell r="H10">
            <v>2016</v>
          </cell>
          <cell r="I10">
            <v>3.7147102526025044E-4</v>
          </cell>
          <cell r="J10">
            <v>1.1190349198056594E-2</v>
          </cell>
        </row>
        <row r="11">
          <cell r="H11">
            <v>2015</v>
          </cell>
          <cell r="I11">
            <v>-1.9545951195823474E-2</v>
          </cell>
          <cell r="J11">
            <v>1.0088715937928367E-2</v>
          </cell>
        </row>
        <row r="12">
          <cell r="H12">
            <v>2014</v>
          </cell>
          <cell r="I12">
            <v>2.898188632104981E-2</v>
          </cell>
          <cell r="J12">
            <v>6.8859322252040498E-3</v>
          </cell>
        </row>
        <row r="13">
          <cell r="H13">
            <v>2013</v>
          </cell>
          <cell r="I13">
            <v>-4.7364036653576136E-2</v>
          </cell>
          <cell r="J13">
            <v>9.5495786586662825E-3</v>
          </cell>
        </row>
        <row r="14">
          <cell r="H14">
            <v>2012</v>
          </cell>
          <cell r="I14">
            <v>5.8654536748861119E-3</v>
          </cell>
          <cell r="J14">
            <v>6.007801508538111E-3</v>
          </cell>
        </row>
        <row r="15">
          <cell r="H15">
            <v>2011</v>
          </cell>
          <cell r="I15">
            <v>4.0737510900709983E-2</v>
          </cell>
          <cell r="J15">
            <v>6.7862888312501483E-3</v>
          </cell>
        </row>
      </sheetData>
      <sheetData sheetId="7">
        <row r="1">
          <cell r="H1" t="str">
            <v>Year</v>
          </cell>
          <cell r="I1" t="str">
            <v>Returns (%)</v>
          </cell>
          <cell r="J1" t="str">
            <v>StDev</v>
          </cell>
        </row>
        <row r="2">
          <cell r="H2">
            <v>2024</v>
          </cell>
          <cell r="I2">
            <v>-7.380073800737974E-2</v>
          </cell>
          <cell r="J2">
            <v>3.0496312380645905E-2</v>
          </cell>
        </row>
        <row r="3">
          <cell r="H3">
            <v>2023</v>
          </cell>
          <cell r="I3">
            <v>4.2307692307692601E-2</v>
          </cell>
          <cell r="J3">
            <v>5.0002416501512791E-2</v>
          </cell>
        </row>
        <row r="4">
          <cell r="H4">
            <v>2022</v>
          </cell>
          <cell r="I4">
            <v>-0.2857142857142857</v>
          </cell>
          <cell r="J4">
            <v>4.8998539275018904E-2</v>
          </cell>
        </row>
        <row r="5">
          <cell r="H5">
            <v>2021</v>
          </cell>
          <cell r="I5">
            <v>-7.3791348600508844E-2</v>
          </cell>
          <cell r="J5">
            <v>2.4557491550507737E-2</v>
          </cell>
        </row>
        <row r="6">
          <cell r="H6">
            <v>2020</v>
          </cell>
          <cell r="I6">
            <v>7.6712328767123195E-2</v>
          </cell>
          <cell r="J6">
            <v>4.0053343274028701E-2</v>
          </cell>
        </row>
        <row r="7">
          <cell r="H7">
            <v>2019</v>
          </cell>
          <cell r="I7">
            <v>0.14420062695924818</v>
          </cell>
          <cell r="J7">
            <v>2.5801063971429214E-2</v>
          </cell>
        </row>
        <row r="8">
          <cell r="H8">
            <v>2018</v>
          </cell>
          <cell r="I8">
            <v>-0.10140845070422499</v>
          </cell>
          <cell r="J8">
            <v>1.7958692998077484E-2</v>
          </cell>
        </row>
        <row r="9">
          <cell r="H9">
            <v>2017</v>
          </cell>
          <cell r="I9">
            <v>5.8648111332008313E-2</v>
          </cell>
          <cell r="J9">
            <v>8.4379619258621585E-3</v>
          </cell>
        </row>
        <row r="10">
          <cell r="H10">
            <v>2016</v>
          </cell>
          <cell r="I10">
            <v>1.616161616161671E-2</v>
          </cell>
          <cell r="J10">
            <v>2.4947390842080308E-2</v>
          </cell>
        </row>
        <row r="11">
          <cell r="H11">
            <v>2015</v>
          </cell>
          <cell r="I11">
            <v>-7.906976744186045E-2</v>
          </cell>
          <cell r="J11">
            <v>2.5319021671336706E-2</v>
          </cell>
        </row>
        <row r="12">
          <cell r="H12">
            <v>2014</v>
          </cell>
          <cell r="I12">
            <v>0.11398963730569966</v>
          </cell>
          <cell r="J12">
            <v>1.6528597867303846E-2</v>
          </cell>
        </row>
        <row r="13">
          <cell r="H13">
            <v>2013</v>
          </cell>
          <cell r="I13">
            <v>-0.11059907834101368</v>
          </cell>
          <cell r="J13">
            <v>2.3813175534025618E-2</v>
          </cell>
        </row>
        <row r="14">
          <cell r="H14">
            <v>2012</v>
          </cell>
          <cell r="I14">
            <v>5.4421768707483054E-2</v>
          </cell>
          <cell r="J14">
            <v>2.0845174955191479E-2</v>
          </cell>
        </row>
        <row r="15">
          <cell r="H15">
            <v>2011</v>
          </cell>
          <cell r="I15">
            <v>0.10171306209850073</v>
          </cell>
          <cell r="J15">
            <v>2.462277735158299E-2</v>
          </cell>
        </row>
      </sheetData>
      <sheetData sheetId="8">
        <row r="1">
          <cell r="H1" t="str">
            <v>Year</v>
          </cell>
          <cell r="I1" t="str">
            <v>Returns (%)</v>
          </cell>
          <cell r="J1" t="str">
            <v>StDev</v>
          </cell>
        </row>
        <row r="2">
          <cell r="H2">
            <v>2024</v>
          </cell>
          <cell r="I2">
            <v>7.82013685239491E-3</v>
          </cell>
          <cell r="J2">
            <v>7.4181986972778292E-3</v>
          </cell>
        </row>
        <row r="3">
          <cell r="H3">
            <v>2023</v>
          </cell>
          <cell r="I3">
            <v>2.8140703517588017E-2</v>
          </cell>
          <cell r="J3">
            <v>1.0447267991604179E-2</v>
          </cell>
        </row>
        <row r="4">
          <cell r="H4">
            <v>2022</v>
          </cell>
          <cell r="I4">
            <v>-7.6137418755802933E-2</v>
          </cell>
          <cell r="J4">
            <v>1.2239366494484373E-2</v>
          </cell>
        </row>
        <row r="5">
          <cell r="H5">
            <v>2021</v>
          </cell>
          <cell r="I5">
            <v>-2.3572076155938593E-2</v>
          </cell>
          <cell r="J5">
            <v>3.0528093872190204E-3</v>
          </cell>
        </row>
        <row r="6">
          <cell r="H6">
            <v>2020</v>
          </cell>
          <cell r="I6">
            <v>2.7958993476235205E-2</v>
          </cell>
          <cell r="J6">
            <v>1.2282015393026717E-2</v>
          </cell>
        </row>
        <row r="7">
          <cell r="H7">
            <v>2019</v>
          </cell>
          <cell r="I7">
            <v>2.7777777777777901E-2</v>
          </cell>
          <cell r="J7">
            <v>3.2733384792002986E-3</v>
          </cell>
        </row>
        <row r="8">
          <cell r="H8">
            <v>2018</v>
          </cell>
          <cell r="I8">
            <v>-1.7873941674506288E-2</v>
          </cell>
          <cell r="J8">
            <v>3.1229029516280961E-3</v>
          </cell>
        </row>
        <row r="9">
          <cell r="H9">
            <v>2017</v>
          </cell>
          <cell r="I9">
            <v>0</v>
          </cell>
          <cell r="J9">
            <v>1.948861799761369E-3</v>
          </cell>
        </row>
        <row r="10">
          <cell r="H10">
            <v>2016</v>
          </cell>
          <cell r="I10">
            <v>6.6287878787880672E-3</v>
          </cell>
          <cell r="J10">
            <v>4.650058089874785E-3</v>
          </cell>
        </row>
        <row r="11">
          <cell r="H11">
            <v>2015</v>
          </cell>
          <cell r="I11">
            <v>-9.3808630393995562E-3</v>
          </cell>
          <cell r="J11">
            <v>3.3124877148240908E-3</v>
          </cell>
        </row>
        <row r="12">
          <cell r="H12">
            <v>2014</v>
          </cell>
          <cell r="I12">
            <v>-3.7383177570090576E-3</v>
          </cell>
          <cell r="J12">
            <v>3.1427016863383459E-3</v>
          </cell>
        </row>
        <row r="13">
          <cell r="H13">
            <v>2013</v>
          </cell>
          <cell r="I13">
            <v>-1.2003693444137098E-2</v>
          </cell>
          <cell r="J13">
            <v>4.3894834944971763E-3</v>
          </cell>
        </row>
        <row r="14">
          <cell r="H14">
            <v>2012</v>
          </cell>
          <cell r="I14">
            <v>1.7857142857142794E-2</v>
          </cell>
          <cell r="J14">
            <v>3.2381346133425202E-3</v>
          </cell>
        </row>
        <row r="15">
          <cell r="H15">
            <v>2011</v>
          </cell>
          <cell r="I15">
            <v>-1.20705663881151E-2</v>
          </cell>
          <cell r="J15">
            <v>4.6158471310904815E-3</v>
          </cell>
        </row>
      </sheetData>
      <sheetData sheetId="9">
        <row r="1">
          <cell r="H1" t="str">
            <v>Year</v>
          </cell>
          <cell r="I1" t="str">
            <v>Returns (%)</v>
          </cell>
          <cell r="J1" t="str">
            <v>StDev</v>
          </cell>
        </row>
        <row r="2">
          <cell r="H2">
            <v>2024</v>
          </cell>
          <cell r="I2">
            <v>-2.2001725625539148E-2</v>
          </cell>
          <cell r="J2">
            <v>1.7768645880761304E-2</v>
          </cell>
        </row>
        <row r="3">
          <cell r="H3">
            <v>2023</v>
          </cell>
          <cell r="I3">
            <v>1.8453427065026506E-2</v>
          </cell>
          <cell r="J3">
            <v>2.5725439260883928E-2</v>
          </cell>
        </row>
        <row r="4">
          <cell r="H4">
            <v>2022</v>
          </cell>
          <cell r="I4">
            <v>-0.13853141559424653</v>
          </cell>
          <cell r="J4">
            <v>2.5390893520595953E-2</v>
          </cell>
        </row>
        <row r="5">
          <cell r="H5">
            <v>2021</v>
          </cell>
          <cell r="I5">
            <v>-2.274828925466954E-2</v>
          </cell>
          <cell r="J5">
            <v>3.6619868295719154E-3</v>
          </cell>
        </row>
        <row r="6">
          <cell r="H6">
            <v>2020</v>
          </cell>
          <cell r="I6">
            <v>1.6926838442731018E-2</v>
          </cell>
          <cell r="J6">
            <v>4.3605512442351406E-3</v>
          </cell>
        </row>
        <row r="7">
          <cell r="H7">
            <v>2019</v>
          </cell>
          <cell r="I7">
            <v>3.2627694697999532E-2</v>
          </cell>
          <cell r="J7">
            <v>4.9795680163226162E-3</v>
          </cell>
        </row>
        <row r="8">
          <cell r="H8">
            <v>2018</v>
          </cell>
          <cell r="I8">
            <v>-1.8115942028985588E-2</v>
          </cell>
          <cell r="J8">
            <v>6.9940540493608769E-3</v>
          </cell>
        </row>
        <row r="9">
          <cell r="H9">
            <v>2017</v>
          </cell>
          <cell r="I9">
            <v>2.8686173264484971E-3</v>
          </cell>
          <cell r="J9">
            <v>3.26225637490609E-3</v>
          </cell>
        </row>
        <row r="10">
          <cell r="H10">
            <v>2016</v>
          </cell>
          <cell r="I10">
            <v>-8.1562974203339689E-3</v>
          </cell>
          <cell r="J10">
            <v>7.4162683796351308E-3</v>
          </cell>
        </row>
        <row r="11">
          <cell r="H11">
            <v>2015</v>
          </cell>
          <cell r="I11">
            <v>-5.4706659120914436E-3</v>
          </cell>
          <cell r="J11">
            <v>5.2816283828930029E-3</v>
          </cell>
        </row>
        <row r="12">
          <cell r="H12">
            <v>2014</v>
          </cell>
          <cell r="I12">
            <v>3.8743709927732572E-2</v>
          </cell>
          <cell r="J12">
            <v>6.4371802150864311E-3</v>
          </cell>
        </row>
        <row r="13">
          <cell r="H13">
            <v>2013</v>
          </cell>
          <cell r="I13">
            <v>-2.2360153256705262E-2</v>
          </cell>
          <cell r="J13">
            <v>7.4472226691593693E-3</v>
          </cell>
        </row>
        <row r="14">
          <cell r="H14">
            <v>2012</v>
          </cell>
          <cell r="I14">
            <v>6.1700196029679244E-3</v>
          </cell>
          <cell r="J14">
            <v>3.4849575892178693E-3</v>
          </cell>
        </row>
        <row r="15">
          <cell r="H15">
            <v>2011</v>
          </cell>
          <cell r="I15">
            <v>3.1819809069212113E-2</v>
          </cell>
          <cell r="J15">
            <v>5.7079067904920507E-3</v>
          </cell>
        </row>
      </sheetData>
      <sheetData sheetId="10">
        <row r="1">
          <cell r="H1" t="str">
            <v>Year</v>
          </cell>
          <cell r="I1" t="str">
            <v>Returns (%)</v>
          </cell>
          <cell r="J1" t="str">
            <v>StDev</v>
          </cell>
        </row>
        <row r="2">
          <cell r="H2">
            <v>2024</v>
          </cell>
          <cell r="I2">
            <v>7.4379178605539886E-2</v>
          </cell>
          <cell r="J2">
            <v>4.4920157386667804E-2</v>
          </cell>
        </row>
        <row r="3">
          <cell r="H3">
            <v>2023</v>
          </cell>
          <cell r="I3">
            <v>2.3934897079940232E-3</v>
          </cell>
          <cell r="J3">
            <v>5.9267079285237563E-2</v>
          </cell>
        </row>
        <row r="4">
          <cell r="H4">
            <v>2022</v>
          </cell>
          <cell r="I4">
            <v>-8.2866864230051185E-2</v>
          </cell>
          <cell r="J4">
            <v>6.9324895111229565E-2</v>
          </cell>
        </row>
        <row r="5">
          <cell r="H5">
            <v>2021</v>
          </cell>
          <cell r="I5">
            <v>-0.10492189802534646</v>
          </cell>
          <cell r="J5">
            <v>5.8166487567694131E-2</v>
          </cell>
        </row>
        <row r="6">
          <cell r="H6">
            <v>2020</v>
          </cell>
          <cell r="I6">
            <v>0.29619253788361122</v>
          </cell>
          <cell r="J6">
            <v>3.7247456613451774E-2</v>
          </cell>
        </row>
        <row r="7">
          <cell r="H7">
            <v>2019</v>
          </cell>
          <cell r="I7">
            <v>-0.10148741418764351</v>
          </cell>
          <cell r="J7">
            <v>6.7902579620887721E-2</v>
          </cell>
        </row>
        <row r="8">
          <cell r="H8">
            <v>2018</v>
          </cell>
          <cell r="I8">
            <v>7.3050951503990547E-2</v>
          </cell>
          <cell r="J8">
            <v>4.8535322899990428E-2</v>
          </cell>
        </row>
        <row r="9">
          <cell r="H9">
            <v>2017</v>
          </cell>
          <cell r="I9">
            <v>-2.1386519283912109E-2</v>
          </cell>
          <cell r="J9">
            <v>3.2128059219094264E-2</v>
          </cell>
        </row>
        <row r="10">
          <cell r="H10">
            <v>2016</v>
          </cell>
          <cell r="I10">
            <v>-6.1351077027179568E-2</v>
          </cell>
          <cell r="J10">
            <v>2.9300260654565428E-2</v>
          </cell>
        </row>
        <row r="11">
          <cell r="H11">
            <v>2015</v>
          </cell>
          <cell r="I11">
            <v>0.18717365109117701</v>
          </cell>
          <cell r="J11">
            <v>4.3419872526674869E-2</v>
          </cell>
        </row>
        <row r="12">
          <cell r="H12">
            <v>2014</v>
          </cell>
          <cell r="I12">
            <v>-2.0042757883484974E-3</v>
          </cell>
          <cell r="J12">
            <v>4.8947071036737989E-2</v>
          </cell>
        </row>
        <row r="13">
          <cell r="H13">
            <v>2013</v>
          </cell>
          <cell r="I13">
            <v>8.9057043073341502E-2</v>
          </cell>
          <cell r="J13">
            <v>3.6435077127425025E-2</v>
          </cell>
        </row>
        <row r="14">
          <cell r="H14">
            <v>2012</v>
          </cell>
          <cell r="I14">
            <v>5.0282744918233035E-2</v>
          </cell>
          <cell r="J14">
            <v>3.2248851463589606E-2</v>
          </cell>
        </row>
        <row r="15">
          <cell r="H15">
            <v>2011</v>
          </cell>
          <cell r="I15">
            <v>8.8685524126456139E-2</v>
          </cell>
          <cell r="J15">
            <v>6.4828246941227421E-2</v>
          </cell>
        </row>
      </sheetData>
      <sheetData sheetId="11">
        <row r="1">
          <cell r="H1" t="str">
            <v>Year</v>
          </cell>
          <cell r="I1" t="str">
            <v>Returns (%)</v>
          </cell>
          <cell r="J1" t="str">
            <v>StDev</v>
          </cell>
        </row>
        <row r="2">
          <cell r="H2">
            <v>2024</v>
          </cell>
          <cell r="I2">
            <v>4.352159468438499E-2</v>
          </cell>
          <cell r="J2">
            <v>1.5734966515054443E-2</v>
          </cell>
        </row>
        <row r="3">
          <cell r="H3">
            <v>2023</v>
          </cell>
          <cell r="I3">
            <v>5.7624736472241533E-2</v>
          </cell>
          <cell r="J3">
            <v>1.6424722638403E-2</v>
          </cell>
        </row>
        <row r="4">
          <cell r="H4">
            <v>2022</v>
          </cell>
          <cell r="I4">
            <v>-0.1047499213589177</v>
          </cell>
          <cell r="J4">
            <v>2.3163448942966479E-2</v>
          </cell>
        </row>
        <row r="5">
          <cell r="H5">
            <v>2021</v>
          </cell>
          <cell r="I5">
            <v>-4.3845912934543652E-3</v>
          </cell>
          <cell r="J5">
            <v>7.5893009868681291E-3</v>
          </cell>
        </row>
        <row r="6">
          <cell r="H6">
            <v>2020</v>
          </cell>
          <cell r="I6">
            <v>3.6688311688311881E-2</v>
          </cell>
          <cell r="J6">
            <v>2.3265434115576515E-2</v>
          </cell>
        </row>
        <row r="7">
          <cell r="H7">
            <v>2019</v>
          </cell>
          <cell r="I7">
            <v>6.6481994459833826E-2</v>
          </cell>
          <cell r="J7">
            <v>1.0017225036426897E-2</v>
          </cell>
        </row>
        <row r="8">
          <cell r="H8">
            <v>2018</v>
          </cell>
          <cell r="I8">
            <v>-5.124835742444156E-2</v>
          </cell>
          <cell r="J8">
            <v>1.4784890057488963E-2</v>
          </cell>
        </row>
        <row r="9">
          <cell r="H9">
            <v>2017</v>
          </cell>
          <cell r="I9">
            <v>6.1737007324730309E-2</v>
          </cell>
          <cell r="J9">
            <v>3.4210686551919122E-3</v>
          </cell>
        </row>
        <row r="10">
          <cell r="H10">
            <v>2016</v>
          </cell>
          <cell r="I10">
            <v>7.3787772312019495E-3</v>
          </cell>
          <cell r="J10">
            <v>1.0617534142468986E-2</v>
          </cell>
        </row>
        <row r="11">
          <cell r="H11">
            <v>2015</v>
          </cell>
          <cell r="I11">
            <v>-3.1643416127934643E-2</v>
          </cell>
          <cell r="J11">
            <v>1.3419821411702318E-2</v>
          </cell>
        </row>
        <row r="12">
          <cell r="H12">
            <v>2014</v>
          </cell>
          <cell r="I12">
            <v>1.4497756299620468E-2</v>
          </cell>
          <cell r="J12">
            <v>1.4032229366376828E-2</v>
          </cell>
        </row>
        <row r="13">
          <cell r="H13">
            <v>2013</v>
          </cell>
          <cell r="I13">
            <v>4.1711614527148777E-2</v>
          </cell>
          <cell r="J13">
            <v>1.3357382504237342E-2</v>
          </cell>
        </row>
        <row r="14">
          <cell r="H14">
            <v>2012</v>
          </cell>
          <cell r="I14">
            <v>2.6957163958641006E-2</v>
          </cell>
          <cell r="J14">
            <v>9.6861085133575463E-3</v>
          </cell>
        </row>
        <row r="15">
          <cell r="H15">
            <v>2011</v>
          </cell>
          <cell r="I15">
            <v>-1.1981728229302102E-2</v>
          </cell>
          <cell r="J15">
            <v>1.3067038025406198E-2</v>
          </cell>
        </row>
      </sheetData>
      <sheetData sheetId="12">
        <row r="1">
          <cell r="H1" t="str">
            <v>Year</v>
          </cell>
          <cell r="I1" t="str">
            <v>Returns (%)</v>
          </cell>
          <cell r="J1" t="str">
            <v>StDev</v>
          </cell>
        </row>
        <row r="2">
          <cell r="H2">
            <v>2024</v>
          </cell>
          <cell r="I2">
            <v>-2.3779084633086423E-2</v>
          </cell>
          <cell r="J2">
            <v>4.3803563807701132E-2</v>
          </cell>
        </row>
        <row r="3">
          <cell r="H3">
            <v>2023</v>
          </cell>
          <cell r="I3">
            <v>3.0777122339062934E-3</v>
          </cell>
          <cell r="J3">
            <v>4.4663695170022687E-2</v>
          </cell>
        </row>
        <row r="4">
          <cell r="H4">
            <v>2022</v>
          </cell>
          <cell r="I4">
            <v>0.41730279898218803</v>
          </cell>
          <cell r="J4">
            <v>0.10273599867521806</v>
          </cell>
        </row>
        <row r="5">
          <cell r="H5">
            <v>2021</v>
          </cell>
          <cell r="I5">
            <v>0.35450516986706071</v>
          </cell>
          <cell r="J5">
            <v>5.9919878159150709E-2</v>
          </cell>
        </row>
        <row r="6">
          <cell r="H6">
            <v>2020</v>
          </cell>
          <cell r="I6">
            <v>-0.34122607849497233</v>
          </cell>
          <cell r="J6">
            <v>0.14319712193332851</v>
          </cell>
        </row>
        <row r="7">
          <cell r="H7">
            <v>2019</v>
          </cell>
          <cell r="I7">
            <v>5.0425894378194114E-2</v>
          </cell>
          <cell r="J7">
            <v>4.9387985020536818E-2</v>
          </cell>
        </row>
        <row r="8">
          <cell r="H8">
            <v>2018</v>
          </cell>
          <cell r="I8">
            <v>-0.1744022503516176</v>
          </cell>
          <cell r="J8">
            <v>5.8679178702972151E-2</v>
          </cell>
        </row>
        <row r="9">
          <cell r="H9">
            <v>2017</v>
          </cell>
          <cell r="I9">
            <v>2.1551724137930828E-2</v>
          </cell>
          <cell r="J9">
            <v>3.400513954287139E-2</v>
          </cell>
        </row>
        <row r="10">
          <cell r="H10">
            <v>2016</v>
          </cell>
          <cell r="I10">
            <v>0.24152693542632919</v>
          </cell>
          <cell r="J10">
            <v>4.0756068878863135E-2</v>
          </cell>
        </row>
        <row r="11">
          <cell r="H11">
            <v>2015</v>
          </cell>
          <cell r="I11">
            <v>-0.24630276956171004</v>
          </cell>
          <cell r="J11">
            <v>6.4933370875931457E-2</v>
          </cell>
        </row>
        <row r="12">
          <cell r="H12">
            <v>2014</v>
          </cell>
          <cell r="I12">
            <v>-0.13951874132346154</v>
          </cell>
          <cell r="J12">
            <v>5.0350240927795394E-2</v>
          </cell>
        </row>
        <row r="13">
          <cell r="H13">
            <v>2013</v>
          </cell>
          <cell r="I13">
            <v>0.12993464052287562</v>
          </cell>
          <cell r="J13">
            <v>2.9125097875958211E-2</v>
          </cell>
        </row>
        <row r="14">
          <cell r="H14">
            <v>2012</v>
          </cell>
          <cell r="I14">
            <v>1.5710919088769426E-3</v>
          </cell>
          <cell r="J14">
            <v>4.5106512349941154E-2</v>
          </cell>
        </row>
        <row r="15">
          <cell r="H15">
            <v>2011</v>
          </cell>
          <cell r="I15">
            <v>-2.227342549923228E-2</v>
          </cell>
          <cell r="J15">
            <v>7.3144163659262032E-2</v>
          </cell>
        </row>
      </sheetData>
      <sheetData sheetId="13">
        <row r="1">
          <cell r="H1" t="str">
            <v>Year</v>
          </cell>
          <cell r="I1" t="str">
            <v>Returns (%)</v>
          </cell>
          <cell r="J1" t="str">
            <v>StDev</v>
          </cell>
        </row>
        <row r="2">
          <cell r="H2">
            <v>2024</v>
          </cell>
          <cell r="I2">
            <v>-7.3475385745773725E-3</v>
          </cell>
          <cell r="J2">
            <v>2.937485180411583E-2</v>
          </cell>
        </row>
        <row r="3">
          <cell r="H3">
            <v>2023</v>
          </cell>
          <cell r="I3">
            <v>-1.1619462599855135E-2</v>
          </cell>
          <cell r="J3">
            <v>3.5336323986317468E-2</v>
          </cell>
        </row>
        <row r="4">
          <cell r="H4">
            <v>2022</v>
          </cell>
          <cell r="I4">
            <v>1.9999999999999796E-2</v>
          </cell>
          <cell r="J4">
            <v>5.8783018285707159E-2</v>
          </cell>
        </row>
        <row r="5">
          <cell r="H5">
            <v>2021</v>
          </cell>
          <cell r="I5">
            <v>9.4890510948905105E-2</v>
          </cell>
          <cell r="J5">
            <v>3.4348042377166529E-2</v>
          </cell>
        </row>
        <row r="6">
          <cell r="H6">
            <v>2020</v>
          </cell>
          <cell r="I6">
            <v>-2.9515938606847314E-2</v>
          </cell>
          <cell r="J6">
            <v>6.6565565780640365E-2</v>
          </cell>
        </row>
        <row r="7">
          <cell r="H7">
            <v>2019</v>
          </cell>
          <cell r="I7">
            <v>0.11692307692307713</v>
          </cell>
          <cell r="J7">
            <v>2.8864097970376493E-2</v>
          </cell>
        </row>
        <row r="8">
          <cell r="H8">
            <v>2018</v>
          </cell>
          <cell r="I8">
            <v>-0.13923571698827086</v>
          </cell>
          <cell r="J8">
            <v>3.0147691734404874E-2</v>
          </cell>
        </row>
        <row r="9">
          <cell r="H9">
            <v>2017</v>
          </cell>
          <cell r="I9">
            <v>8.2752970094223999E-2</v>
          </cell>
          <cell r="J9">
            <v>1.3672946325895609E-2</v>
          </cell>
        </row>
        <row r="10">
          <cell r="H10">
            <v>2016</v>
          </cell>
          <cell r="I10">
            <v>9.707865168539298E-2</v>
          </cell>
          <cell r="J10">
            <v>2.4210426934086999E-2</v>
          </cell>
        </row>
        <row r="11">
          <cell r="H11">
            <v>2015</v>
          </cell>
          <cell r="I11">
            <v>-0.16447615471272992</v>
          </cell>
          <cell r="J11">
            <v>3.1515161451894605E-2</v>
          </cell>
        </row>
        <row r="12">
          <cell r="H12">
            <v>2014</v>
          </cell>
          <cell r="I12">
            <v>-8.362009635237444E-2</v>
          </cell>
          <cell r="J12">
            <v>2.982361034536565E-2</v>
          </cell>
        </row>
        <row r="13">
          <cell r="H13">
            <v>2013</v>
          </cell>
          <cell r="I13">
            <v>-5.156657963446476E-2</v>
          </cell>
          <cell r="J13">
            <v>2.3461134815144339E-2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81"/>
  <sheetViews>
    <sheetView tabSelected="1" workbookViewId="0">
      <selection activeCell="Y4" sqref="Y4"/>
    </sheetView>
  </sheetViews>
  <sheetFormatPr baseColWidth="10" defaultColWidth="8.83203125" defaultRowHeight="15" x14ac:dyDescent="0.2"/>
  <cols>
    <col min="1" max="1" width="16.6640625" bestFit="1" customWidth="1"/>
    <col min="9" max="12" width="12.6640625" bestFit="1" customWidth="1"/>
    <col min="23" max="23" width="12.6640625" bestFit="1" customWidth="1"/>
  </cols>
  <sheetData>
    <row r="1" spans="1:23" x14ac:dyDescent="0.2">
      <c r="A1" t="s">
        <v>0</v>
      </c>
      <c r="U1" t="s">
        <v>1</v>
      </c>
      <c r="V1" s="28" t="s">
        <v>2</v>
      </c>
      <c r="W1" s="27" t="s">
        <v>3</v>
      </c>
    </row>
    <row r="2" spans="1:23" x14ac:dyDescent="0.2">
      <c r="A2" t="s">
        <v>4</v>
      </c>
      <c r="R2" t="s">
        <v>5</v>
      </c>
      <c r="U2" t="s">
        <v>4</v>
      </c>
      <c r="V2" s="14">
        <v>0.28000000000000003</v>
      </c>
      <c r="W2" s="30">
        <f>$R$3*V2</f>
        <v>28000.000000000004</v>
      </c>
    </row>
    <row r="3" spans="1:23" x14ac:dyDescent="0.2">
      <c r="A3" t="s">
        <v>6</v>
      </c>
      <c r="B3">
        <v>2024</v>
      </c>
      <c r="C3">
        <v>2023</v>
      </c>
      <c r="D3">
        <v>2022</v>
      </c>
      <c r="E3">
        <v>2021</v>
      </c>
      <c r="F3">
        <v>2020</v>
      </c>
      <c r="G3">
        <v>2019</v>
      </c>
      <c r="H3">
        <v>2018</v>
      </c>
      <c r="I3">
        <v>2017</v>
      </c>
      <c r="J3">
        <v>2016</v>
      </c>
      <c r="K3">
        <v>2015</v>
      </c>
      <c r="L3">
        <v>2014</v>
      </c>
      <c r="M3">
        <v>2013</v>
      </c>
      <c r="N3">
        <v>2012</v>
      </c>
      <c r="O3">
        <v>2011</v>
      </c>
      <c r="R3">
        <v>100000</v>
      </c>
      <c r="S3" t="s">
        <v>3</v>
      </c>
      <c r="U3" t="s">
        <v>7</v>
      </c>
      <c r="V3" s="14">
        <v>7.0000000000000007E-2</v>
      </c>
      <c r="W3" s="30">
        <f t="shared" ref="W3:W6" si="0">$R$3*V3</f>
        <v>7000.0000000000009</v>
      </c>
    </row>
    <row r="4" spans="1:23" x14ac:dyDescent="0.2">
      <c r="A4" t="s">
        <v>8</v>
      </c>
      <c r="B4">
        <v>0.23630529452211779</v>
      </c>
      <c r="C4">
        <v>0.25229621125143575</v>
      </c>
      <c r="D4">
        <v>-0.21183603293819586</v>
      </c>
      <c r="E4">
        <v>0.25765335154205049</v>
      </c>
      <c r="F4">
        <v>0.18871753246753231</v>
      </c>
      <c r="G4">
        <v>0.28713216089152027</v>
      </c>
      <c r="H4">
        <v>-6.2979278838310004E-2</v>
      </c>
      <c r="I4">
        <v>0.19742111946859353</v>
      </c>
      <c r="J4">
        <v>9.486631016042768E-2</v>
      </c>
      <c r="K4">
        <v>-9.4289649327262692E-3</v>
      </c>
      <c r="L4">
        <v>0.11308962264150879</v>
      </c>
      <c r="M4">
        <v>0.30141190914671512</v>
      </c>
      <c r="N4">
        <v>0.13717277486910939</v>
      </c>
      <c r="O4">
        <v>-5.3810102412775729E-3</v>
      </c>
      <c r="U4" t="s">
        <v>9</v>
      </c>
      <c r="V4" s="14">
        <v>0.15</v>
      </c>
      <c r="W4" s="30">
        <f t="shared" si="0"/>
        <v>15000</v>
      </c>
    </row>
    <row r="5" spans="1:23" x14ac:dyDescent="0.2">
      <c r="A5" t="s">
        <v>10</v>
      </c>
      <c r="B5">
        <v>2.9784877287210326E-2</v>
      </c>
      <c r="C5">
        <v>4.1118230110667765E-2</v>
      </c>
      <c r="D5">
        <v>6.4743306661421446E-2</v>
      </c>
      <c r="E5">
        <v>3.0682644183264971E-2</v>
      </c>
      <c r="F5">
        <v>7.3697180118202171E-2</v>
      </c>
      <c r="G5">
        <v>3.5402911389036847E-2</v>
      </c>
      <c r="H5">
        <v>4.2832775702203243E-2</v>
      </c>
      <c r="I5">
        <v>1.1878009961479976E-2</v>
      </c>
      <c r="J5">
        <v>2.868412408848197E-2</v>
      </c>
      <c r="K5">
        <v>3.8578414243559754E-2</v>
      </c>
      <c r="L5">
        <v>2.3566691668552096E-2</v>
      </c>
      <c r="M5">
        <v>2.3968390944283387E-2</v>
      </c>
      <c r="N5">
        <v>2.8799590474161897E-2</v>
      </c>
      <c r="O5">
        <v>4.5714959915350253E-2</v>
      </c>
      <c r="U5" t="s">
        <v>11</v>
      </c>
      <c r="V5" s="14">
        <v>0.05</v>
      </c>
      <c r="W5" s="30">
        <f t="shared" si="0"/>
        <v>5000</v>
      </c>
    </row>
    <row r="6" spans="1:23" x14ac:dyDescent="0.2">
      <c r="U6" t="s">
        <v>12</v>
      </c>
      <c r="V6" s="14">
        <v>0.11</v>
      </c>
      <c r="W6" s="30">
        <f t="shared" si="0"/>
        <v>11000</v>
      </c>
    </row>
    <row r="7" spans="1:23" x14ac:dyDescent="0.2">
      <c r="A7" t="s">
        <v>7</v>
      </c>
      <c r="U7" t="s">
        <v>13</v>
      </c>
      <c r="V7" s="14">
        <v>0.08</v>
      </c>
      <c r="W7" s="30">
        <f t="shared" ref="W7:W13" si="1">$R$3*V7</f>
        <v>8000</v>
      </c>
    </row>
    <row r="8" spans="1:23" x14ac:dyDescent="0.2">
      <c r="A8" t="s">
        <v>6</v>
      </c>
      <c r="B8">
        <v>2024</v>
      </c>
      <c r="C8">
        <v>2023</v>
      </c>
      <c r="D8">
        <v>2022</v>
      </c>
      <c r="E8">
        <v>2021</v>
      </c>
      <c r="F8">
        <v>2020</v>
      </c>
      <c r="G8">
        <v>2019</v>
      </c>
      <c r="H8">
        <v>2018</v>
      </c>
      <c r="I8">
        <v>2017</v>
      </c>
      <c r="J8">
        <v>2016</v>
      </c>
      <c r="K8">
        <v>2015</v>
      </c>
      <c r="L8">
        <v>2014</v>
      </c>
      <c r="M8">
        <v>2013</v>
      </c>
      <c r="N8">
        <v>2012</v>
      </c>
      <c r="O8">
        <v>2011</v>
      </c>
      <c r="U8" t="s">
        <v>14</v>
      </c>
      <c r="V8" s="14">
        <v>0.08</v>
      </c>
      <c r="W8" s="30">
        <f t="shared" si="1"/>
        <v>8000</v>
      </c>
    </row>
    <row r="9" spans="1:23" x14ac:dyDescent="0.2">
      <c r="A9" t="s">
        <v>8</v>
      </c>
      <c r="B9">
        <v>0.12633009890779512</v>
      </c>
      <c r="C9">
        <v>0.16230794377247504</v>
      </c>
      <c r="D9">
        <v>-0.18791203929029665</v>
      </c>
      <c r="E9">
        <v>0.16093075816724878</v>
      </c>
      <c r="F9">
        <v>0.17531997102149233</v>
      </c>
      <c r="G9">
        <v>0.2549435563300253</v>
      </c>
      <c r="H9">
        <v>-0.10696887686062273</v>
      </c>
      <c r="I9">
        <v>0.14609181141439187</v>
      </c>
      <c r="J9">
        <v>0.1655820679681852</v>
      </c>
      <c r="K9">
        <v>-5.1602948739928323E-2</v>
      </c>
      <c r="L9">
        <v>6.102773988176402E-2</v>
      </c>
      <c r="M9">
        <v>0.35908529048207738</v>
      </c>
      <c r="N9">
        <v>0.16118845988230257</v>
      </c>
      <c r="O9">
        <v>-4.0754509155995766E-2</v>
      </c>
      <c r="U9" t="s">
        <v>15</v>
      </c>
      <c r="V9" s="14">
        <v>0.08</v>
      </c>
      <c r="W9" s="30">
        <f t="shared" si="1"/>
        <v>8000</v>
      </c>
    </row>
    <row r="10" spans="1:23" x14ac:dyDescent="0.2">
      <c r="A10" t="s">
        <v>10</v>
      </c>
      <c r="B10">
        <v>5.2272758115444178E-2</v>
      </c>
      <c r="C10">
        <v>6.1961677017082488E-2</v>
      </c>
      <c r="D10">
        <v>6.9218736185078358E-2</v>
      </c>
      <c r="E10">
        <v>3.0257745603533153E-2</v>
      </c>
      <c r="F10">
        <v>9.8067938221790843E-2</v>
      </c>
      <c r="G10">
        <v>4.6808588816626737E-2</v>
      </c>
      <c r="H10">
        <v>5.0935914954361637E-2</v>
      </c>
      <c r="I10">
        <v>1.5262031667162942E-2</v>
      </c>
      <c r="J10">
        <v>4.3315876585390468E-2</v>
      </c>
      <c r="K10">
        <v>3.744191943709943E-2</v>
      </c>
      <c r="L10">
        <v>3.6444962156509678E-2</v>
      </c>
      <c r="M10">
        <v>2.9445229337379968E-2</v>
      </c>
      <c r="N10">
        <v>3.3878729692785305E-2</v>
      </c>
      <c r="O10">
        <v>6.3999337591763975E-2</v>
      </c>
      <c r="U10" t="s">
        <v>16</v>
      </c>
      <c r="V10" s="14">
        <v>0.03</v>
      </c>
      <c r="W10" s="30">
        <f t="shared" si="1"/>
        <v>3000</v>
      </c>
    </row>
    <row r="11" spans="1:23" x14ac:dyDescent="0.2">
      <c r="U11" t="s">
        <v>17</v>
      </c>
      <c r="V11" s="14">
        <v>0.03</v>
      </c>
      <c r="W11" s="30">
        <f t="shared" si="1"/>
        <v>3000</v>
      </c>
    </row>
    <row r="12" spans="1:23" x14ac:dyDescent="0.2">
      <c r="A12" t="s">
        <v>9</v>
      </c>
      <c r="U12" t="s">
        <v>18</v>
      </c>
      <c r="V12" s="14">
        <v>0.01</v>
      </c>
      <c r="W12" s="30">
        <f t="shared" si="1"/>
        <v>1000</v>
      </c>
    </row>
    <row r="13" spans="1:23" x14ac:dyDescent="0.2">
      <c r="A13" t="s">
        <v>6</v>
      </c>
      <c r="B13">
        <v>2024</v>
      </c>
      <c r="C13">
        <v>2023</v>
      </c>
      <c r="D13">
        <v>2022</v>
      </c>
      <c r="E13">
        <v>2021</v>
      </c>
      <c r="F13">
        <v>2020</v>
      </c>
      <c r="G13">
        <v>2019</v>
      </c>
      <c r="H13">
        <v>2018</v>
      </c>
      <c r="I13">
        <v>2017</v>
      </c>
      <c r="J13">
        <v>2016</v>
      </c>
      <c r="K13">
        <v>2015</v>
      </c>
      <c r="L13">
        <v>2014</v>
      </c>
      <c r="M13">
        <v>2013</v>
      </c>
      <c r="N13">
        <v>2012</v>
      </c>
      <c r="O13">
        <v>2011</v>
      </c>
      <c r="U13" t="s">
        <v>19</v>
      </c>
      <c r="V13" s="14">
        <v>0.03</v>
      </c>
      <c r="W13" s="30">
        <f t="shared" si="1"/>
        <v>3000</v>
      </c>
    </row>
    <row r="14" spans="1:23" x14ac:dyDescent="0.2">
      <c r="A14" t="s">
        <v>8</v>
      </c>
      <c r="B14">
        <v>1.6735679779158019E-2</v>
      </c>
      <c r="C14">
        <v>0.12064965197215782</v>
      </c>
      <c r="D14">
        <v>-0.18640868334119864</v>
      </c>
      <c r="E14">
        <v>5.6682180851063357E-2</v>
      </c>
      <c r="F14">
        <v>8.0265756868378224E-2</v>
      </c>
      <c r="G14">
        <v>0.17937314697162177</v>
      </c>
      <c r="H14">
        <v>-0.16880830839640903</v>
      </c>
      <c r="I14">
        <v>0.23823016564952004</v>
      </c>
      <c r="J14">
        <v>1.7069385945466697E-2</v>
      </c>
      <c r="K14">
        <v>-6.6818369880016992E-2</v>
      </c>
      <c r="L14">
        <v>-7.7128675066819641E-2</v>
      </c>
      <c r="M14">
        <v>0.11281070745697863</v>
      </c>
      <c r="N14">
        <v>0.15085574572127114</v>
      </c>
      <c r="O14">
        <v>-0.18003207698476364</v>
      </c>
      <c r="U14" t="s">
        <v>20</v>
      </c>
      <c r="V14" s="28">
        <f>SUM(V2:V13)</f>
        <v>1</v>
      </c>
      <c r="W14" s="32">
        <f>SUM(W2:W13)</f>
        <v>100000</v>
      </c>
    </row>
    <row r="15" spans="1:23" x14ac:dyDescent="0.2">
      <c r="A15" t="s">
        <v>10</v>
      </c>
      <c r="B15">
        <v>2.8986702974204876E-2</v>
      </c>
      <c r="C15">
        <v>4.6109914592995634E-2</v>
      </c>
      <c r="D15">
        <v>6.1132111077121118E-2</v>
      </c>
      <c r="E15">
        <v>2.4716973068882892E-2</v>
      </c>
      <c r="F15">
        <v>7.3259639636772289E-2</v>
      </c>
      <c r="G15">
        <v>3.3022420014299975E-2</v>
      </c>
      <c r="H15">
        <v>3.7864706492339889E-2</v>
      </c>
      <c r="I15">
        <v>1.2497749886718184E-2</v>
      </c>
      <c r="J15">
        <v>3.4132823876751747E-2</v>
      </c>
      <c r="K15">
        <v>4.0358400738054356E-2</v>
      </c>
      <c r="L15">
        <v>3.1410605141103477E-2</v>
      </c>
      <c r="M15">
        <v>3.3129769146367498E-2</v>
      </c>
      <c r="N15">
        <v>4.4637344542138739E-2</v>
      </c>
      <c r="O15">
        <v>5.9870284705858444E-2</v>
      </c>
    </row>
    <row r="17" spans="1:15" x14ac:dyDescent="0.2">
      <c r="A17" t="s">
        <v>11</v>
      </c>
    </row>
    <row r="18" spans="1:15" x14ac:dyDescent="0.2">
      <c r="A18" t="s">
        <v>6</v>
      </c>
      <c r="B18">
        <v>2024</v>
      </c>
      <c r="C18">
        <v>2023</v>
      </c>
      <c r="D18">
        <v>2022</v>
      </c>
      <c r="E18">
        <v>2021</v>
      </c>
      <c r="F18">
        <v>2020</v>
      </c>
      <c r="G18">
        <v>2019</v>
      </c>
      <c r="H18">
        <v>2018</v>
      </c>
      <c r="I18">
        <v>2017</v>
      </c>
      <c r="J18">
        <v>2016</v>
      </c>
      <c r="K18">
        <v>2015</v>
      </c>
      <c r="L18">
        <v>2014</v>
      </c>
      <c r="M18">
        <v>2013</v>
      </c>
      <c r="N18">
        <v>2012</v>
      </c>
      <c r="O18">
        <v>2011</v>
      </c>
    </row>
    <row r="19" spans="1:15" x14ac:dyDescent="0.2">
      <c r="A19" t="s">
        <v>8</v>
      </c>
      <c r="B19">
        <v>7.1532846715328446E-2</v>
      </c>
      <c r="C19">
        <v>5.4386865059004696E-2</v>
      </c>
      <c r="D19">
        <v>-0.21188839466235354</v>
      </c>
      <c r="E19">
        <v>-1.2971462781879883E-2</v>
      </c>
      <c r="F19">
        <v>0.12682707443220176</v>
      </c>
      <c r="G19">
        <v>0.16719160104986863</v>
      </c>
      <c r="H19">
        <v>-0.17011544325854955</v>
      </c>
      <c r="I19">
        <v>0.28311906092789307</v>
      </c>
      <c r="J19">
        <v>9.3855090186486967E-2</v>
      </c>
      <c r="K19">
        <v>-0.18265867066466746</v>
      </c>
      <c r="L19">
        <v>-2.72241127856101E-2</v>
      </c>
      <c r="M19">
        <v>-7.6128452728497664E-2</v>
      </c>
      <c r="N19">
        <v>0.16540172729651914</v>
      </c>
      <c r="O19">
        <v>-0.20643821391484918</v>
      </c>
    </row>
    <row r="20" spans="1:15" x14ac:dyDescent="0.2">
      <c r="A20" t="s">
        <v>10</v>
      </c>
      <c r="B20">
        <v>2.9714537894229551E-2</v>
      </c>
      <c r="C20">
        <v>4.8694448378477286E-2</v>
      </c>
      <c r="D20">
        <v>5.7570201274414506E-2</v>
      </c>
      <c r="E20">
        <v>2.7022334824083838E-2</v>
      </c>
      <c r="F20">
        <v>7.1724369289068834E-2</v>
      </c>
      <c r="G20">
        <v>4.1296575047821894E-2</v>
      </c>
      <c r="H20">
        <v>4.6309633304833786E-2</v>
      </c>
      <c r="I20">
        <v>2.069530586227903E-2</v>
      </c>
      <c r="J20">
        <v>4.62251122364618E-2</v>
      </c>
      <c r="K20">
        <v>4.8304219789800977E-2</v>
      </c>
      <c r="L20">
        <v>4.3812930990456037E-2</v>
      </c>
      <c r="M20">
        <v>3.535885075101939E-2</v>
      </c>
      <c r="N20">
        <v>5.2080841172682663E-2</v>
      </c>
      <c r="O20">
        <v>7.9184630267108091E-2</v>
      </c>
    </row>
    <row r="22" spans="1:15" x14ac:dyDescent="0.2">
      <c r="A22" t="s">
        <v>21</v>
      </c>
    </row>
    <row r="23" spans="1:15" x14ac:dyDescent="0.2">
      <c r="A23" t="s">
        <v>12</v>
      </c>
    </row>
    <row r="24" spans="1:15" x14ac:dyDescent="0.2">
      <c r="A24" t="s">
        <v>6</v>
      </c>
      <c r="B24">
        <v>2024</v>
      </c>
      <c r="C24">
        <v>2023</v>
      </c>
      <c r="D24">
        <v>2022</v>
      </c>
      <c r="E24">
        <v>2021</v>
      </c>
      <c r="F24">
        <v>2020</v>
      </c>
      <c r="G24">
        <v>2019</v>
      </c>
      <c r="H24">
        <v>2018</v>
      </c>
      <c r="I24">
        <v>2017</v>
      </c>
      <c r="J24">
        <v>2016</v>
      </c>
      <c r="K24">
        <v>2015</v>
      </c>
      <c r="L24">
        <v>2014</v>
      </c>
      <c r="M24">
        <v>2013</v>
      </c>
      <c r="N24">
        <v>2012</v>
      </c>
      <c r="O24">
        <v>2011</v>
      </c>
    </row>
    <row r="25" spans="1:15" x14ac:dyDescent="0.2">
      <c r="A25" t="s">
        <v>8</v>
      </c>
      <c r="B25">
        <v>-2.2297756628144483E-2</v>
      </c>
      <c r="C25">
        <v>2.3802895322939666E-2</v>
      </c>
      <c r="D25">
        <v>-0.15233038348082595</v>
      </c>
      <c r="E25">
        <v>-3.9006690100918617E-2</v>
      </c>
      <c r="F25">
        <v>5.1633675172907179E-2</v>
      </c>
      <c r="G25">
        <v>5.8704709001389244E-2</v>
      </c>
      <c r="H25">
        <v>-2.8932205467696481E-2</v>
      </c>
      <c r="I25">
        <v>9.6546602302260975E-3</v>
      </c>
      <c r="J25">
        <v>3.7147102526025044E-4</v>
      </c>
      <c r="K25">
        <v>-1.9545951195823474E-2</v>
      </c>
      <c r="L25">
        <v>2.898188632104981E-2</v>
      </c>
      <c r="M25">
        <v>-4.7364036653576136E-2</v>
      </c>
      <c r="N25">
        <v>5.8654536748861119E-3</v>
      </c>
      <c r="O25">
        <v>4.0737510900709983E-2</v>
      </c>
    </row>
    <row r="26" spans="1:15" x14ac:dyDescent="0.2">
      <c r="A26" t="s">
        <v>10</v>
      </c>
      <c r="B26">
        <v>1.6340263607334943E-2</v>
      </c>
      <c r="C26">
        <v>2.3363931667498807E-2</v>
      </c>
      <c r="D26">
        <v>2.2823484711387551E-2</v>
      </c>
      <c r="E26">
        <v>8.3974030544195881E-3</v>
      </c>
      <c r="F26">
        <v>1.223682692949548E-2</v>
      </c>
      <c r="G26">
        <v>1.017523627881875E-2</v>
      </c>
      <c r="H26">
        <v>8.2750567492192763E-3</v>
      </c>
      <c r="I26">
        <v>3.9451299924629212E-3</v>
      </c>
      <c r="J26">
        <v>1.1190349198056594E-2</v>
      </c>
      <c r="K26">
        <v>1.0088715937928367E-2</v>
      </c>
      <c r="L26">
        <v>6.8859322252040498E-3</v>
      </c>
      <c r="M26">
        <v>9.5495786586662825E-3</v>
      </c>
      <c r="N26">
        <v>6.007801508538111E-3</v>
      </c>
      <c r="O26">
        <v>6.7862888312501483E-3</v>
      </c>
    </row>
    <row r="28" spans="1:15" x14ac:dyDescent="0.2">
      <c r="A28" t="s">
        <v>13</v>
      </c>
    </row>
    <row r="29" spans="1:15" x14ac:dyDescent="0.2">
      <c r="A29" t="s">
        <v>6</v>
      </c>
      <c r="B29">
        <v>2024</v>
      </c>
      <c r="C29">
        <v>2023</v>
      </c>
      <c r="D29">
        <v>2022</v>
      </c>
      <c r="E29">
        <v>2021</v>
      </c>
      <c r="F29">
        <v>2020</v>
      </c>
      <c r="G29">
        <v>2019</v>
      </c>
      <c r="H29">
        <v>2018</v>
      </c>
      <c r="I29">
        <v>2017</v>
      </c>
      <c r="J29">
        <v>2016</v>
      </c>
      <c r="K29">
        <v>2015</v>
      </c>
      <c r="L29">
        <v>2014</v>
      </c>
      <c r="M29">
        <v>2013</v>
      </c>
      <c r="N29">
        <v>2012</v>
      </c>
      <c r="O29">
        <v>2011</v>
      </c>
    </row>
    <row r="30" spans="1:15" x14ac:dyDescent="0.2">
      <c r="A30" t="s">
        <v>8</v>
      </c>
      <c r="B30">
        <v>-7.380073800737974E-2</v>
      </c>
      <c r="C30">
        <v>4.2307692307692601E-2</v>
      </c>
      <c r="D30">
        <v>-0.2857142857142857</v>
      </c>
      <c r="E30">
        <v>-7.3791348600508844E-2</v>
      </c>
      <c r="F30">
        <v>7.6712328767123195E-2</v>
      </c>
      <c r="G30">
        <v>0.14420062695924818</v>
      </c>
      <c r="H30">
        <v>-0.10140845070422499</v>
      </c>
      <c r="I30">
        <v>5.8648111332008313E-2</v>
      </c>
      <c r="J30">
        <v>1.616161616161671E-2</v>
      </c>
      <c r="K30">
        <v>-7.906976744186045E-2</v>
      </c>
      <c r="L30">
        <v>0.11398963730569966</v>
      </c>
      <c r="M30">
        <v>-0.11059907834101368</v>
      </c>
      <c r="N30">
        <v>5.4421768707483054E-2</v>
      </c>
      <c r="O30">
        <v>0.10171306209850073</v>
      </c>
    </row>
    <row r="31" spans="1:15" x14ac:dyDescent="0.2">
      <c r="A31" t="s">
        <v>10</v>
      </c>
      <c r="B31">
        <v>3.0496312380645905E-2</v>
      </c>
      <c r="C31">
        <v>5.0002416501512791E-2</v>
      </c>
      <c r="D31">
        <v>4.8998539275018904E-2</v>
      </c>
      <c r="E31">
        <v>2.4557491550507737E-2</v>
      </c>
      <c r="F31">
        <v>4.0053343274028701E-2</v>
      </c>
      <c r="G31">
        <v>2.5801063971429214E-2</v>
      </c>
      <c r="H31">
        <v>1.7958692998077484E-2</v>
      </c>
      <c r="I31">
        <v>8.4379619258621585E-3</v>
      </c>
      <c r="J31">
        <v>2.4947390842080308E-2</v>
      </c>
      <c r="K31">
        <v>2.5319021671336706E-2</v>
      </c>
      <c r="L31">
        <v>1.6528597867303846E-2</v>
      </c>
      <c r="M31">
        <v>2.3813175534025618E-2</v>
      </c>
      <c r="N31">
        <v>2.0845174955191479E-2</v>
      </c>
      <c r="O31">
        <v>2.462277735158299E-2</v>
      </c>
    </row>
    <row r="33" spans="1:15" x14ac:dyDescent="0.2">
      <c r="A33" t="s">
        <v>14</v>
      </c>
    </row>
    <row r="34" spans="1:15" x14ac:dyDescent="0.2">
      <c r="A34" t="s">
        <v>6</v>
      </c>
      <c r="B34">
        <v>2024</v>
      </c>
      <c r="C34">
        <v>2023</v>
      </c>
      <c r="D34">
        <v>2022</v>
      </c>
      <c r="E34">
        <v>2021</v>
      </c>
      <c r="F34">
        <v>2020</v>
      </c>
      <c r="G34">
        <v>2019</v>
      </c>
      <c r="H34">
        <v>2018</v>
      </c>
      <c r="I34">
        <v>2017</v>
      </c>
      <c r="J34">
        <v>2016</v>
      </c>
      <c r="K34">
        <v>2015</v>
      </c>
      <c r="L34">
        <v>2014</v>
      </c>
      <c r="M34">
        <v>2013</v>
      </c>
      <c r="N34">
        <v>2012</v>
      </c>
      <c r="O34">
        <v>2011</v>
      </c>
    </row>
    <row r="35" spans="1:15" x14ac:dyDescent="0.2">
      <c r="A35" t="s">
        <v>8</v>
      </c>
      <c r="B35">
        <v>7.82013685239491E-3</v>
      </c>
      <c r="C35">
        <v>2.8140703517588017E-2</v>
      </c>
      <c r="D35">
        <v>-7.6137418755802933E-2</v>
      </c>
      <c r="E35">
        <v>-2.3572076155938593E-2</v>
      </c>
      <c r="F35">
        <v>2.7958993476235205E-2</v>
      </c>
      <c r="G35">
        <v>2.7777777777777901E-2</v>
      </c>
      <c r="H35">
        <v>-1.7873941674506288E-2</v>
      </c>
      <c r="I35">
        <v>0</v>
      </c>
      <c r="J35">
        <v>6.6287878787880672E-3</v>
      </c>
      <c r="K35">
        <v>-9.3808630393995562E-3</v>
      </c>
      <c r="L35">
        <v>-3.7383177570090576E-3</v>
      </c>
      <c r="M35">
        <v>-1.2003693444137098E-2</v>
      </c>
      <c r="N35">
        <v>1.7857142857142794E-2</v>
      </c>
      <c r="O35">
        <v>-1.20705663881151E-2</v>
      </c>
    </row>
    <row r="36" spans="1:15" x14ac:dyDescent="0.2">
      <c r="A36" t="s">
        <v>10</v>
      </c>
      <c r="B36">
        <v>7.4181986972778292E-3</v>
      </c>
      <c r="C36">
        <v>1.0447267991604179E-2</v>
      </c>
      <c r="D36">
        <v>1.2239366494484373E-2</v>
      </c>
      <c r="E36">
        <v>3.0528093872190204E-3</v>
      </c>
      <c r="F36">
        <v>1.2282015393026717E-2</v>
      </c>
      <c r="G36">
        <v>3.2733384792002986E-3</v>
      </c>
      <c r="H36">
        <v>3.1229029516280961E-3</v>
      </c>
      <c r="I36">
        <v>1.948861799761369E-3</v>
      </c>
      <c r="J36">
        <v>4.650058089874785E-3</v>
      </c>
      <c r="K36">
        <v>3.3124877148240908E-3</v>
      </c>
      <c r="L36">
        <v>3.1427016863383459E-3</v>
      </c>
      <c r="M36">
        <v>4.3894834944971763E-3</v>
      </c>
      <c r="N36">
        <v>3.2381346133425202E-3</v>
      </c>
      <c r="O36">
        <v>4.6158471310904815E-3</v>
      </c>
    </row>
    <row r="38" spans="1:15" x14ac:dyDescent="0.2">
      <c r="A38" t="s">
        <v>15</v>
      </c>
    </row>
    <row r="39" spans="1:15" x14ac:dyDescent="0.2">
      <c r="A39" t="s">
        <v>6</v>
      </c>
      <c r="B39">
        <v>2024</v>
      </c>
      <c r="C39">
        <v>2023</v>
      </c>
      <c r="D39">
        <v>2022</v>
      </c>
      <c r="E39">
        <v>2021</v>
      </c>
      <c r="F39">
        <v>2020</v>
      </c>
      <c r="G39">
        <v>2019</v>
      </c>
      <c r="H39">
        <v>2018</v>
      </c>
      <c r="I39">
        <v>2017</v>
      </c>
      <c r="J39">
        <v>2016</v>
      </c>
      <c r="K39">
        <v>2015</v>
      </c>
      <c r="L39">
        <v>2014</v>
      </c>
      <c r="M39">
        <v>2013</v>
      </c>
      <c r="N39">
        <v>2012</v>
      </c>
      <c r="O39">
        <v>2011</v>
      </c>
    </row>
    <row r="40" spans="1:15" x14ac:dyDescent="0.2">
      <c r="A40" t="s">
        <v>8</v>
      </c>
      <c r="B40">
        <v>-2.2001725625539148E-2</v>
      </c>
      <c r="C40">
        <v>1.8453427065026506E-2</v>
      </c>
      <c r="D40">
        <v>-0.13853141559424653</v>
      </c>
      <c r="E40">
        <v>-2.274828925466954E-2</v>
      </c>
      <c r="F40">
        <v>1.6926838442731018E-2</v>
      </c>
      <c r="G40">
        <v>3.2627694697999532E-2</v>
      </c>
      <c r="H40">
        <v>-1.8115942028985588E-2</v>
      </c>
      <c r="I40">
        <v>2.8686173264484971E-3</v>
      </c>
      <c r="J40">
        <v>-8.1562974203339689E-3</v>
      </c>
      <c r="K40">
        <v>-5.4706659120914436E-3</v>
      </c>
      <c r="L40">
        <v>3.8743709927732572E-2</v>
      </c>
      <c r="M40">
        <v>-2.2360153256705262E-2</v>
      </c>
      <c r="N40">
        <v>6.1700196029679244E-3</v>
      </c>
      <c r="O40">
        <v>3.1819809069212113E-2</v>
      </c>
    </row>
    <row r="41" spans="1:15" x14ac:dyDescent="0.2">
      <c r="A41" t="s">
        <v>10</v>
      </c>
      <c r="B41">
        <v>1.7768645880761304E-2</v>
      </c>
      <c r="C41">
        <v>2.5725439260883928E-2</v>
      </c>
      <c r="D41">
        <v>2.5390893520595953E-2</v>
      </c>
      <c r="E41">
        <v>3.6619868295719154E-3</v>
      </c>
      <c r="F41">
        <v>4.3605512442351406E-3</v>
      </c>
      <c r="G41">
        <v>4.9795680163226162E-3</v>
      </c>
      <c r="H41">
        <v>6.9940540493608769E-3</v>
      </c>
      <c r="I41">
        <v>3.26225637490609E-3</v>
      </c>
      <c r="J41">
        <v>7.4162683796351308E-3</v>
      </c>
      <c r="K41">
        <v>5.2816283828930029E-3</v>
      </c>
      <c r="L41">
        <v>6.4371802150864311E-3</v>
      </c>
      <c r="M41">
        <v>7.4472226691593693E-3</v>
      </c>
      <c r="N41">
        <v>3.4849575892178693E-3</v>
      </c>
      <c r="O41">
        <v>5.7079067904920507E-3</v>
      </c>
    </row>
    <row r="43" spans="1:15" x14ac:dyDescent="0.2">
      <c r="A43" t="s">
        <v>22</v>
      </c>
    </row>
    <row r="44" spans="1:15" x14ac:dyDescent="0.2">
      <c r="A44" t="s">
        <v>16</v>
      </c>
    </row>
    <row r="45" spans="1:15" x14ac:dyDescent="0.2">
      <c r="A45" t="s">
        <v>6</v>
      </c>
      <c r="B45">
        <v>2024</v>
      </c>
      <c r="C45">
        <v>2023</v>
      </c>
      <c r="D45">
        <v>2022</v>
      </c>
      <c r="E45">
        <v>2021</v>
      </c>
      <c r="F45">
        <v>2020</v>
      </c>
      <c r="G45">
        <v>2019</v>
      </c>
      <c r="H45">
        <v>2018</v>
      </c>
      <c r="I45">
        <v>2017</v>
      </c>
      <c r="J45">
        <v>2016</v>
      </c>
      <c r="K45">
        <v>2015</v>
      </c>
      <c r="L45">
        <v>2014</v>
      </c>
      <c r="M45">
        <v>2013</v>
      </c>
      <c r="N45">
        <v>2012</v>
      </c>
      <c r="O45">
        <v>2011</v>
      </c>
    </row>
    <row r="46" spans="1:15" x14ac:dyDescent="0.2">
      <c r="A46" t="s">
        <v>8</v>
      </c>
      <c r="B46">
        <v>7.4379178605539886E-2</v>
      </c>
      <c r="C46">
        <v>2.3934897079940232E-3</v>
      </c>
      <c r="D46">
        <v>-8.2866864230051185E-2</v>
      </c>
      <c r="E46">
        <v>-0.10492189802534646</v>
      </c>
      <c r="F46">
        <v>0.29619253788361122</v>
      </c>
      <c r="G46">
        <v>-0.10148741418764351</v>
      </c>
      <c r="H46">
        <v>7.3050951503990547E-2</v>
      </c>
      <c r="I46">
        <v>-2.1386519283912109E-2</v>
      </c>
      <c r="J46">
        <v>-6.1351077027179568E-2</v>
      </c>
      <c r="K46">
        <v>0.18717365109117701</v>
      </c>
      <c r="L46">
        <v>-2.0042757883484974E-3</v>
      </c>
      <c r="M46">
        <v>8.9057043073341502E-2</v>
      </c>
      <c r="N46">
        <v>5.0282744918233035E-2</v>
      </c>
      <c r="O46">
        <v>8.8685524126456139E-2</v>
      </c>
    </row>
    <row r="47" spans="1:15" x14ac:dyDescent="0.2">
      <c r="A47" t="s">
        <v>10</v>
      </c>
      <c r="B47">
        <v>4.4920157386667804E-2</v>
      </c>
      <c r="C47">
        <v>5.9267079285237563E-2</v>
      </c>
      <c r="D47">
        <v>6.9324895111229565E-2</v>
      </c>
      <c r="E47">
        <v>5.8166487567694131E-2</v>
      </c>
      <c r="F47">
        <v>3.7247456613451774E-2</v>
      </c>
      <c r="G47">
        <v>6.7902579620887721E-2</v>
      </c>
      <c r="H47">
        <v>4.8535322899990428E-2</v>
      </c>
      <c r="I47">
        <v>3.2128059219094264E-2</v>
      </c>
      <c r="J47">
        <v>2.9300260654565428E-2</v>
      </c>
      <c r="K47">
        <v>4.3419872526674869E-2</v>
      </c>
      <c r="L47">
        <v>4.8947071036737989E-2</v>
      </c>
      <c r="M47">
        <v>3.6435077127425025E-2</v>
      </c>
      <c r="N47">
        <v>3.2248851463589606E-2</v>
      </c>
      <c r="O47">
        <v>6.4828246941227421E-2</v>
      </c>
    </row>
    <row r="49" spans="1:15" x14ac:dyDescent="0.2">
      <c r="A49" t="s">
        <v>17</v>
      </c>
    </row>
    <row r="50" spans="1:15" x14ac:dyDescent="0.2">
      <c r="A50" t="s">
        <v>6</v>
      </c>
      <c r="B50">
        <v>2024</v>
      </c>
      <c r="C50">
        <v>2023</v>
      </c>
      <c r="D50">
        <v>2022</v>
      </c>
      <c r="E50">
        <v>2021</v>
      </c>
      <c r="F50">
        <v>2020</v>
      </c>
      <c r="G50">
        <v>2019</v>
      </c>
      <c r="H50">
        <v>2018</v>
      </c>
      <c r="I50">
        <v>2017</v>
      </c>
      <c r="J50">
        <v>2016</v>
      </c>
      <c r="K50">
        <v>2015</v>
      </c>
      <c r="L50">
        <v>2014</v>
      </c>
      <c r="M50">
        <v>2013</v>
      </c>
      <c r="N50">
        <v>2012</v>
      </c>
      <c r="O50">
        <v>2011</v>
      </c>
    </row>
    <row r="51" spans="1:15" x14ac:dyDescent="0.2">
      <c r="A51" t="s">
        <v>8</v>
      </c>
      <c r="B51">
        <v>4.352159468438499E-2</v>
      </c>
      <c r="C51">
        <v>5.7624736472241533E-2</v>
      </c>
      <c r="D51">
        <v>-0.1047499213589177</v>
      </c>
      <c r="E51">
        <v>-4.3845912934543652E-3</v>
      </c>
      <c r="F51">
        <v>3.6688311688311881E-2</v>
      </c>
      <c r="G51">
        <v>6.6481994459833826E-2</v>
      </c>
      <c r="H51">
        <v>-5.124835742444156E-2</v>
      </c>
      <c r="I51">
        <v>6.1737007324730309E-2</v>
      </c>
      <c r="J51">
        <v>7.3787772312019495E-3</v>
      </c>
      <c r="K51">
        <v>-3.1643416127934643E-2</v>
      </c>
      <c r="L51">
        <v>1.4497756299620468E-2</v>
      </c>
      <c r="M51">
        <v>4.1711614527148777E-2</v>
      </c>
      <c r="N51">
        <v>2.6957163958641006E-2</v>
      </c>
      <c r="O51">
        <v>-1.1981728229302102E-2</v>
      </c>
    </row>
    <row r="52" spans="1:15" x14ac:dyDescent="0.2">
      <c r="A52" t="s">
        <v>10</v>
      </c>
      <c r="B52">
        <v>1.5734966515054443E-2</v>
      </c>
      <c r="C52">
        <v>1.6424722638403E-2</v>
      </c>
      <c r="D52">
        <v>2.3163448942966479E-2</v>
      </c>
      <c r="E52">
        <v>7.5893009868681291E-3</v>
      </c>
      <c r="F52">
        <v>2.3265434115576515E-2</v>
      </c>
      <c r="G52">
        <v>1.0017225036426897E-2</v>
      </c>
      <c r="H52">
        <v>1.4784890057488963E-2</v>
      </c>
      <c r="I52">
        <v>3.4210686551919122E-3</v>
      </c>
      <c r="J52">
        <v>1.0617534142468986E-2</v>
      </c>
      <c r="K52">
        <v>1.3419821411702318E-2</v>
      </c>
      <c r="L52">
        <v>1.4032229366376828E-2</v>
      </c>
      <c r="M52">
        <v>1.3357382504237342E-2</v>
      </c>
      <c r="N52">
        <v>9.6861085133575463E-3</v>
      </c>
      <c r="O52">
        <v>1.3067038025406198E-2</v>
      </c>
    </row>
    <row r="54" spans="1:15" x14ac:dyDescent="0.2">
      <c r="A54" t="s">
        <v>18</v>
      </c>
    </row>
    <row r="55" spans="1:15" x14ac:dyDescent="0.2">
      <c r="A55" t="s">
        <v>6</v>
      </c>
      <c r="B55">
        <v>2024</v>
      </c>
      <c r="C55">
        <v>2023</v>
      </c>
      <c r="D55">
        <v>2022</v>
      </c>
      <c r="E55">
        <v>2021</v>
      </c>
      <c r="F55">
        <v>2020</v>
      </c>
      <c r="G55">
        <v>2019</v>
      </c>
      <c r="H55">
        <v>2018</v>
      </c>
      <c r="I55">
        <v>2017</v>
      </c>
      <c r="J55">
        <v>2016</v>
      </c>
      <c r="K55">
        <v>2015</v>
      </c>
      <c r="L55">
        <v>2014</v>
      </c>
      <c r="M55">
        <v>2013</v>
      </c>
      <c r="N55">
        <v>2012</v>
      </c>
      <c r="O55">
        <v>2011</v>
      </c>
    </row>
    <row r="56" spans="1:15" x14ac:dyDescent="0.2">
      <c r="A56" t="s">
        <v>8</v>
      </c>
      <c r="B56">
        <v>-2.3779084633086423E-2</v>
      </c>
      <c r="C56">
        <v>3.0777122339062934E-3</v>
      </c>
      <c r="D56">
        <v>0.41730279898218803</v>
      </c>
      <c r="E56">
        <v>0.35450516986706071</v>
      </c>
      <c r="F56">
        <v>-0.34122607849497233</v>
      </c>
      <c r="G56">
        <v>5.0425894378194114E-2</v>
      </c>
      <c r="H56">
        <v>-0.1744022503516176</v>
      </c>
      <c r="I56">
        <v>2.1551724137930828E-2</v>
      </c>
      <c r="J56">
        <v>0.24152693542632919</v>
      </c>
      <c r="K56">
        <v>-0.24630276956171004</v>
      </c>
      <c r="L56">
        <v>-0.13951874132346154</v>
      </c>
      <c r="M56">
        <v>0.12993464052287562</v>
      </c>
      <c r="N56">
        <v>1.5710919088769426E-3</v>
      </c>
      <c r="O56">
        <v>-2.227342549923228E-2</v>
      </c>
    </row>
    <row r="57" spans="1:15" x14ac:dyDescent="0.2">
      <c r="A57" t="s">
        <v>10</v>
      </c>
      <c r="B57">
        <v>4.3803563807701132E-2</v>
      </c>
      <c r="C57">
        <v>4.4663695170022687E-2</v>
      </c>
      <c r="D57">
        <v>0.10273599867521806</v>
      </c>
      <c r="E57">
        <v>5.9919878159150709E-2</v>
      </c>
      <c r="F57">
        <v>0.14319712193332851</v>
      </c>
      <c r="G57">
        <v>4.9387985020536818E-2</v>
      </c>
      <c r="H57">
        <v>5.8679178702972151E-2</v>
      </c>
      <c r="I57">
        <v>3.400513954287139E-2</v>
      </c>
      <c r="J57">
        <v>4.0756068878863135E-2</v>
      </c>
      <c r="K57">
        <v>6.4933370875931457E-2</v>
      </c>
      <c r="L57">
        <v>5.0350240927795394E-2</v>
      </c>
      <c r="M57">
        <v>2.9125097875958211E-2</v>
      </c>
      <c r="N57">
        <v>4.5106512349941154E-2</v>
      </c>
      <c r="O57">
        <v>7.3144163659262032E-2</v>
      </c>
    </row>
    <row r="59" spans="1:15" x14ac:dyDescent="0.2">
      <c r="A59" t="s">
        <v>19</v>
      </c>
    </row>
    <row r="60" spans="1:15" x14ac:dyDescent="0.2">
      <c r="A60" t="s">
        <v>6</v>
      </c>
      <c r="B60">
        <v>2024</v>
      </c>
      <c r="C60">
        <v>2023</v>
      </c>
      <c r="D60">
        <v>2022</v>
      </c>
      <c r="E60">
        <v>2021</v>
      </c>
      <c r="F60">
        <v>2020</v>
      </c>
      <c r="G60">
        <v>2019</v>
      </c>
      <c r="H60">
        <v>2018</v>
      </c>
      <c r="I60">
        <v>2017</v>
      </c>
      <c r="J60">
        <v>2016</v>
      </c>
      <c r="K60">
        <v>2015</v>
      </c>
      <c r="L60">
        <v>2014</v>
      </c>
      <c r="M60">
        <v>2013</v>
      </c>
    </row>
    <row r="61" spans="1:15" x14ac:dyDescent="0.2">
      <c r="A61" t="s">
        <v>8</v>
      </c>
      <c r="B61">
        <v>-7.3475385745773725E-3</v>
      </c>
      <c r="C61">
        <v>-1.1619462599855135E-2</v>
      </c>
      <c r="D61">
        <v>1.9999999999999796E-2</v>
      </c>
      <c r="E61">
        <v>9.4890510948905105E-2</v>
      </c>
      <c r="F61">
        <v>-2.9515938606847314E-2</v>
      </c>
      <c r="G61">
        <v>0.11692307692307713</v>
      </c>
      <c r="H61">
        <v>-0.13923571698827086</v>
      </c>
      <c r="I61">
        <v>8.2752970094223999E-2</v>
      </c>
      <c r="J61">
        <v>9.707865168539298E-2</v>
      </c>
      <c r="K61">
        <v>-0.16447615471272992</v>
      </c>
      <c r="L61">
        <v>-8.362009635237444E-2</v>
      </c>
      <c r="M61">
        <v>-5.156657963446476E-2</v>
      </c>
    </row>
    <row r="62" spans="1:15" x14ac:dyDescent="0.2">
      <c r="A62" t="s">
        <v>10</v>
      </c>
      <c r="B62">
        <v>2.937485180411583E-2</v>
      </c>
      <c r="C62">
        <v>3.5336323986317468E-2</v>
      </c>
      <c r="D62">
        <v>5.8783018285707159E-2</v>
      </c>
      <c r="E62">
        <v>3.4348042377166529E-2</v>
      </c>
      <c r="F62">
        <v>6.6565565780640365E-2</v>
      </c>
      <c r="G62">
        <v>2.8864097970376493E-2</v>
      </c>
      <c r="H62">
        <v>3.0147691734404874E-2</v>
      </c>
      <c r="I62">
        <v>1.3672946325895609E-2</v>
      </c>
      <c r="J62">
        <v>2.4210426934086999E-2</v>
      </c>
      <c r="K62">
        <v>3.1515161451894605E-2</v>
      </c>
      <c r="L62">
        <v>2.982361034536565E-2</v>
      </c>
      <c r="M62">
        <v>2.3461134815144339E-2</v>
      </c>
    </row>
    <row r="66" spans="1:13" x14ac:dyDescent="0.2">
      <c r="A66" t="s">
        <v>23</v>
      </c>
    </row>
    <row r="67" spans="1:13" x14ac:dyDescent="0.2">
      <c r="A67" t="s">
        <v>6</v>
      </c>
      <c r="B67" t="s">
        <v>4</v>
      </c>
      <c r="C67" t="s">
        <v>7</v>
      </c>
      <c r="D67" t="s">
        <v>9</v>
      </c>
      <c r="E67" t="s">
        <v>11</v>
      </c>
      <c r="F67" t="s">
        <v>12</v>
      </c>
      <c r="G67" t="s">
        <v>13</v>
      </c>
      <c r="H67" t="s">
        <v>14</v>
      </c>
      <c r="I67" t="s">
        <v>15</v>
      </c>
      <c r="J67" t="s">
        <v>16</v>
      </c>
      <c r="K67" t="s">
        <v>17</v>
      </c>
      <c r="L67" t="s">
        <v>18</v>
      </c>
      <c r="M67" t="s">
        <v>19</v>
      </c>
    </row>
    <row r="68" spans="1:13" x14ac:dyDescent="0.2">
      <c r="A68">
        <v>2024</v>
      </c>
      <c r="B68">
        <v>0.23630529452211779</v>
      </c>
      <c r="C68">
        <v>0.12633009890779512</v>
      </c>
      <c r="D68">
        <v>1.6735679779158019E-2</v>
      </c>
      <c r="E68">
        <v>-2.2297756628144483E-2</v>
      </c>
      <c r="F68">
        <v>-7.380073800737974E-2</v>
      </c>
      <c r="G68">
        <v>7.82013685239491E-3</v>
      </c>
      <c r="H68">
        <v>-2.2001725625539148E-2</v>
      </c>
      <c r="I68">
        <v>7.4379178605539886E-2</v>
      </c>
      <c r="J68">
        <v>4.352159468438499E-2</v>
      </c>
      <c r="K68">
        <v>4.352159468438499E-2</v>
      </c>
      <c r="L68">
        <v>-2.3779084633086423E-2</v>
      </c>
      <c r="M68">
        <v>-7.3475385745773725E-3</v>
      </c>
    </row>
    <row r="69" spans="1:13" x14ac:dyDescent="0.2">
      <c r="A69">
        <v>2023</v>
      </c>
      <c r="B69">
        <v>0.25229621125143575</v>
      </c>
      <c r="C69">
        <v>0.16230794377247504</v>
      </c>
      <c r="D69">
        <v>0.12064965197215782</v>
      </c>
      <c r="E69">
        <v>2.3802895322939666E-2</v>
      </c>
      <c r="F69">
        <v>4.2307692307692601E-2</v>
      </c>
      <c r="G69">
        <v>2.8140703517588017E-2</v>
      </c>
      <c r="H69">
        <v>1.8453427065026506E-2</v>
      </c>
      <c r="I69">
        <v>2.3934897079940232E-3</v>
      </c>
      <c r="J69">
        <v>5.7624736472241533E-2</v>
      </c>
      <c r="K69">
        <v>5.7624736472241533E-2</v>
      </c>
      <c r="L69">
        <v>3.0777122339062934E-3</v>
      </c>
      <c r="M69">
        <v>-1.1619462599855135E-2</v>
      </c>
    </row>
    <row r="70" spans="1:13" x14ac:dyDescent="0.2">
      <c r="A70">
        <v>2022</v>
      </c>
      <c r="B70">
        <v>-0.21183603293819586</v>
      </c>
      <c r="C70">
        <v>-0.18791203929029665</v>
      </c>
      <c r="D70">
        <v>-0.18640868334119864</v>
      </c>
      <c r="E70">
        <v>-0.15233038348082595</v>
      </c>
      <c r="F70">
        <v>-0.2857142857142857</v>
      </c>
      <c r="G70">
        <v>-7.6137418755802933E-2</v>
      </c>
      <c r="H70">
        <v>-0.13853141559424653</v>
      </c>
      <c r="I70">
        <v>-8.2866864230051185E-2</v>
      </c>
      <c r="J70">
        <v>-0.1047499213589177</v>
      </c>
      <c r="K70">
        <v>-0.1047499213589177</v>
      </c>
      <c r="L70">
        <v>0.41730279898218803</v>
      </c>
      <c r="M70">
        <v>1.9999999999999796E-2</v>
      </c>
    </row>
    <row r="71" spans="1:13" x14ac:dyDescent="0.2">
      <c r="A71">
        <v>2021</v>
      </c>
      <c r="B71">
        <v>0.25765335154205049</v>
      </c>
      <c r="C71">
        <v>0.16093075816724878</v>
      </c>
      <c r="D71">
        <v>5.6682180851063357E-2</v>
      </c>
      <c r="E71">
        <v>-3.9006690100918617E-2</v>
      </c>
      <c r="F71">
        <v>-7.3791348600508844E-2</v>
      </c>
      <c r="G71">
        <v>-2.3572076155938593E-2</v>
      </c>
      <c r="H71">
        <v>-2.274828925466954E-2</v>
      </c>
      <c r="I71">
        <v>-0.10492189802534646</v>
      </c>
      <c r="J71">
        <v>-4.3845912934543652E-3</v>
      </c>
      <c r="K71">
        <v>-4.3845912934543652E-3</v>
      </c>
      <c r="L71">
        <v>0.35450516986706071</v>
      </c>
      <c r="M71">
        <v>9.4890510948905105E-2</v>
      </c>
    </row>
    <row r="72" spans="1:13" x14ac:dyDescent="0.2">
      <c r="A72">
        <v>2020</v>
      </c>
      <c r="B72">
        <v>0.18871753246753231</v>
      </c>
      <c r="C72">
        <v>0.17531997102149233</v>
      </c>
      <c r="D72">
        <v>8.0265756868378224E-2</v>
      </c>
      <c r="E72">
        <v>5.1633675172907179E-2</v>
      </c>
      <c r="F72">
        <v>7.6712328767123195E-2</v>
      </c>
      <c r="G72">
        <v>2.7958993476235205E-2</v>
      </c>
      <c r="H72">
        <v>1.6926838442731018E-2</v>
      </c>
      <c r="I72">
        <v>0.29619253788361122</v>
      </c>
      <c r="J72">
        <v>3.6688311688311881E-2</v>
      </c>
      <c r="K72">
        <v>3.6688311688311881E-2</v>
      </c>
      <c r="L72">
        <v>-0.34122607849497233</v>
      </c>
      <c r="M72">
        <v>-2.9515938606847314E-2</v>
      </c>
    </row>
    <row r="73" spans="1:13" x14ac:dyDescent="0.2">
      <c r="A73">
        <v>2019</v>
      </c>
      <c r="B73">
        <v>0.28713216089152027</v>
      </c>
      <c r="C73">
        <v>0.2549435563300253</v>
      </c>
      <c r="D73">
        <v>0.17937314697162177</v>
      </c>
      <c r="E73">
        <v>5.8704709001389244E-2</v>
      </c>
      <c r="F73">
        <v>0.14420062695924818</v>
      </c>
      <c r="G73">
        <v>2.7777777777777901E-2</v>
      </c>
      <c r="H73">
        <v>3.2627694697999532E-2</v>
      </c>
      <c r="I73">
        <v>-0.10148741418764351</v>
      </c>
      <c r="J73">
        <v>6.6481994459833826E-2</v>
      </c>
      <c r="K73">
        <v>6.6481994459833826E-2</v>
      </c>
      <c r="L73">
        <v>5.0425894378194114E-2</v>
      </c>
      <c r="M73">
        <v>0.11692307692307713</v>
      </c>
    </row>
    <row r="74" spans="1:13" x14ac:dyDescent="0.2">
      <c r="A74">
        <v>2018</v>
      </c>
      <c r="B74">
        <v>-6.2979278838310004E-2</v>
      </c>
      <c r="C74">
        <v>-0.10696887686062273</v>
      </c>
      <c r="D74">
        <v>-0.16880830839640903</v>
      </c>
      <c r="E74">
        <v>-2.8932205467696481E-2</v>
      </c>
      <c r="F74">
        <v>-0.10140845070422499</v>
      </c>
      <c r="G74">
        <v>-1.7873941674506288E-2</v>
      </c>
      <c r="H74">
        <v>-1.8115942028985588E-2</v>
      </c>
      <c r="I74">
        <v>7.3050951503990547E-2</v>
      </c>
      <c r="J74">
        <v>-5.124835742444156E-2</v>
      </c>
      <c r="K74">
        <v>-5.124835742444156E-2</v>
      </c>
      <c r="L74">
        <v>-0.1744022503516176</v>
      </c>
      <c r="M74">
        <v>-0.13923571698827086</v>
      </c>
    </row>
    <row r="75" spans="1:13" x14ac:dyDescent="0.2">
      <c r="A75">
        <v>2017</v>
      </c>
      <c r="B75">
        <v>0.19742111946859353</v>
      </c>
      <c r="C75">
        <v>0.14609181141439187</v>
      </c>
      <c r="D75">
        <v>0.23823016564952004</v>
      </c>
      <c r="E75">
        <v>9.6546602302260975E-3</v>
      </c>
      <c r="F75">
        <v>5.8648111332008313E-2</v>
      </c>
      <c r="G75">
        <v>0</v>
      </c>
      <c r="H75">
        <v>2.8686173264484971E-3</v>
      </c>
      <c r="I75">
        <v>-2.1386519283912109E-2</v>
      </c>
      <c r="J75">
        <v>6.1737007324730309E-2</v>
      </c>
      <c r="K75">
        <v>6.1737007324730309E-2</v>
      </c>
      <c r="L75">
        <v>2.1551724137930828E-2</v>
      </c>
      <c r="M75">
        <v>8.2752970094223999E-2</v>
      </c>
    </row>
    <row r="76" spans="1:13" x14ac:dyDescent="0.2">
      <c r="A76">
        <v>2016</v>
      </c>
      <c r="B76">
        <v>9.486631016042768E-2</v>
      </c>
      <c r="C76">
        <v>0.1655820679681852</v>
      </c>
      <c r="D76">
        <v>1.7069385945466697E-2</v>
      </c>
      <c r="E76">
        <v>3.7147102526025044E-4</v>
      </c>
      <c r="F76">
        <v>1.616161616161671E-2</v>
      </c>
      <c r="G76">
        <v>6.6287878787880672E-3</v>
      </c>
      <c r="H76">
        <v>-8.1562974203339689E-3</v>
      </c>
      <c r="I76">
        <v>-6.1351077027179568E-2</v>
      </c>
      <c r="J76">
        <v>7.3787772312019495E-3</v>
      </c>
      <c r="K76">
        <v>7.3787772312019495E-3</v>
      </c>
      <c r="L76">
        <v>0.24152693542632919</v>
      </c>
      <c r="M76">
        <v>9.707865168539298E-2</v>
      </c>
    </row>
    <row r="77" spans="1:13" x14ac:dyDescent="0.2">
      <c r="A77">
        <v>2015</v>
      </c>
      <c r="B77">
        <v>-9.4289649327262692E-3</v>
      </c>
      <c r="C77">
        <v>-5.1602948739928323E-2</v>
      </c>
      <c r="D77">
        <v>-6.6818369880016992E-2</v>
      </c>
      <c r="E77">
        <v>-1.9545951195823474E-2</v>
      </c>
      <c r="F77">
        <v>-7.906976744186045E-2</v>
      </c>
      <c r="G77">
        <v>-9.3808630393995562E-3</v>
      </c>
      <c r="H77">
        <v>-5.4706659120914436E-3</v>
      </c>
      <c r="I77">
        <v>0.18717365109117701</v>
      </c>
      <c r="J77">
        <v>-3.1643416127934643E-2</v>
      </c>
      <c r="K77">
        <v>-3.1643416127934643E-2</v>
      </c>
      <c r="L77">
        <v>-0.24630276956171004</v>
      </c>
      <c r="M77">
        <v>-0.16447615471272992</v>
      </c>
    </row>
    <row r="78" spans="1:13" x14ac:dyDescent="0.2">
      <c r="A78">
        <v>2014</v>
      </c>
      <c r="B78">
        <v>0.11308962264150879</v>
      </c>
      <c r="C78">
        <v>6.102773988176402E-2</v>
      </c>
      <c r="D78">
        <v>-7.7128675066819641E-2</v>
      </c>
      <c r="E78">
        <v>2.898188632104981E-2</v>
      </c>
      <c r="F78">
        <v>0.11398963730569966</v>
      </c>
      <c r="G78">
        <v>-3.7383177570090576E-3</v>
      </c>
      <c r="H78">
        <v>3.8743709927732572E-2</v>
      </c>
      <c r="I78">
        <v>-2.0042757883484974E-3</v>
      </c>
      <c r="J78">
        <v>1.4497756299620468E-2</v>
      </c>
      <c r="K78">
        <v>1.4497756299620468E-2</v>
      </c>
      <c r="L78">
        <v>-0.13951874132346154</v>
      </c>
      <c r="M78">
        <v>-8.362009635237444E-2</v>
      </c>
    </row>
    <row r="79" spans="1:13" x14ac:dyDescent="0.2">
      <c r="A79">
        <v>2013</v>
      </c>
      <c r="B79">
        <v>0.30141190914671512</v>
      </c>
      <c r="C79">
        <v>0.35908529048207738</v>
      </c>
      <c r="D79">
        <v>0.11281070745697863</v>
      </c>
      <c r="E79">
        <v>-4.7364036653576136E-2</v>
      </c>
      <c r="F79">
        <v>-0.11059907834101368</v>
      </c>
      <c r="G79">
        <v>-1.2003693444137098E-2</v>
      </c>
      <c r="H79">
        <v>-2.2360153256705262E-2</v>
      </c>
      <c r="I79">
        <v>8.9057043073341502E-2</v>
      </c>
      <c r="J79">
        <v>4.1711614527148777E-2</v>
      </c>
      <c r="K79">
        <v>4.1711614527148777E-2</v>
      </c>
      <c r="L79">
        <v>0.12993464052287562</v>
      </c>
      <c r="M79">
        <v>-5.156657963446476E-2</v>
      </c>
    </row>
    <row r="80" spans="1:13" x14ac:dyDescent="0.2">
      <c r="A80">
        <v>2012</v>
      </c>
      <c r="B80">
        <v>0.13717277486910939</v>
      </c>
      <c r="C80">
        <v>0.16118845988230257</v>
      </c>
      <c r="D80">
        <v>0.15085574572127114</v>
      </c>
      <c r="E80">
        <v>5.8654536748861119E-3</v>
      </c>
      <c r="F80">
        <v>5.4421768707483054E-2</v>
      </c>
      <c r="G80">
        <v>1.7857142857142794E-2</v>
      </c>
      <c r="H80">
        <v>6.1700196029679244E-3</v>
      </c>
      <c r="I80">
        <v>5.0282744918233035E-2</v>
      </c>
      <c r="J80">
        <v>2.6957163958641006E-2</v>
      </c>
      <c r="K80">
        <v>2.6957163958641006E-2</v>
      </c>
      <c r="L80">
        <v>1.5710919088769426E-3</v>
      </c>
    </row>
    <row r="81" spans="1:12" x14ac:dyDescent="0.2">
      <c r="A81">
        <v>2011</v>
      </c>
      <c r="B81">
        <v>-5.3810102412775729E-3</v>
      </c>
      <c r="C81">
        <v>-4.0754509155995766E-2</v>
      </c>
      <c r="D81">
        <v>-0.18003207698476364</v>
      </c>
      <c r="E81">
        <v>4.0737510900709983E-2</v>
      </c>
      <c r="F81">
        <v>0.10171306209850073</v>
      </c>
      <c r="G81">
        <v>-1.20705663881151E-2</v>
      </c>
      <c r="H81">
        <v>3.1819809069212113E-2</v>
      </c>
      <c r="I81">
        <v>8.8685524126456139E-2</v>
      </c>
      <c r="J81">
        <v>-1.1981728229302102E-2</v>
      </c>
      <c r="K81">
        <v>-1.1981728229302102E-2</v>
      </c>
      <c r="L81">
        <v>-2.227342549923228E-2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69E57-DFD0-4B62-ACF9-1FFCF99D3FD7}">
  <dimension ref="A1:Z292"/>
  <sheetViews>
    <sheetView workbookViewId="0"/>
  </sheetViews>
  <sheetFormatPr baseColWidth="10" defaultColWidth="8.83203125" defaultRowHeight="15" x14ac:dyDescent="0.2"/>
  <cols>
    <col min="1" max="1" width="20.33203125" customWidth="1"/>
    <col min="2" max="2" width="35" customWidth="1"/>
    <col min="3" max="4" width="20" bestFit="1" customWidth="1"/>
    <col min="5" max="5" width="14.6640625" style="11" customWidth="1"/>
    <col min="7" max="7" width="10.6640625" bestFit="1" customWidth="1"/>
    <col min="8" max="8" width="10.6640625" customWidth="1"/>
    <col min="9" max="9" width="15.5" customWidth="1"/>
  </cols>
  <sheetData>
    <row r="1" spans="1:26" x14ac:dyDescent="0.2">
      <c r="A1" s="1" t="s">
        <v>24</v>
      </c>
      <c r="B1" s="2" t="s">
        <v>25</v>
      </c>
      <c r="C1" s="3" t="s">
        <v>26</v>
      </c>
      <c r="D1" s="3" t="s">
        <v>27</v>
      </c>
      <c r="E1" s="4" t="s">
        <v>28</v>
      </c>
      <c r="G1" s="5" t="s">
        <v>29</v>
      </c>
      <c r="H1" s="6" t="s">
        <v>6</v>
      </c>
      <c r="I1" s="7" t="s">
        <v>8</v>
      </c>
      <c r="J1" s="6" t="s">
        <v>10</v>
      </c>
      <c r="O1" s="39"/>
      <c r="P1" s="39"/>
      <c r="Q1" s="39"/>
      <c r="R1" s="39"/>
    </row>
    <row r="2" spans="1:26" ht="19" x14ac:dyDescent="0.25">
      <c r="A2" s="8">
        <v>45657</v>
      </c>
      <c r="B2" s="9">
        <v>48.48</v>
      </c>
      <c r="C2" s="10">
        <f t="shared" ref="C2:C65" si="0">(B2-B3)/B3</f>
        <v>-5.5707051032333588E-2</v>
      </c>
      <c r="D2" s="10" cm="1">
        <f t="array" ref="D2">PRODUCT((1+C2:C13)^(12/12))-1</f>
        <v>8.748317631224789E-2</v>
      </c>
      <c r="E2" s="11">
        <f>_xlfn.STDEV.P(C2:C13)</f>
        <v>2.793040614164282E-2</v>
      </c>
      <c r="G2" s="12">
        <f>A2</f>
        <v>45657</v>
      </c>
      <c r="H2" s="13">
        <v>2024</v>
      </c>
      <c r="I2" s="14">
        <f>VLOOKUP(G2,$A$2:$D$292,4,FALSE)</f>
        <v>8.748317631224789E-2</v>
      </c>
      <c r="J2" s="15">
        <f>VLOOKUP(G2,$A$2:$E$298,5,FALSE)</f>
        <v>2.793040614164282E-2</v>
      </c>
      <c r="O2" s="16" t="s">
        <v>30</v>
      </c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</row>
    <row r="3" spans="1:26" x14ac:dyDescent="0.2">
      <c r="A3" s="8">
        <v>45625</v>
      </c>
      <c r="B3" s="9">
        <v>51.34</v>
      </c>
      <c r="C3" s="10">
        <f t="shared" si="0"/>
        <v>4.4557477110885146E-2</v>
      </c>
      <c r="G3" s="12">
        <f>A14</f>
        <v>45289</v>
      </c>
      <c r="H3" s="13">
        <v>2023</v>
      </c>
      <c r="I3" s="14">
        <f t="shared" ref="I3:I18" si="1">VLOOKUP(G3,$A$2:$D$292,4,FALSE)</f>
        <v>0.12433795712484219</v>
      </c>
      <c r="J3" s="15">
        <f t="shared" ref="J3:J18" si="2">VLOOKUP(G3,$A$2:$E$298,5,FALSE)</f>
        <v>3.259106313945466E-2</v>
      </c>
      <c r="O3" s="18" t="s">
        <v>31</v>
      </c>
    </row>
    <row r="4" spans="1:26" x14ac:dyDescent="0.2">
      <c r="A4" s="8">
        <v>45596</v>
      </c>
      <c r="B4" s="9">
        <v>49.15</v>
      </c>
      <c r="C4" s="10">
        <f t="shared" si="0"/>
        <v>-1.4042126379137468E-2</v>
      </c>
      <c r="G4" s="12">
        <f>A26</f>
        <v>44925</v>
      </c>
      <c r="H4" s="13">
        <v>2022</v>
      </c>
      <c r="I4" s="14">
        <f t="shared" si="1"/>
        <v>-0.19114647082823377</v>
      </c>
      <c r="J4" s="15">
        <f t="shared" si="2"/>
        <v>4.5891380436133979E-2</v>
      </c>
      <c r="O4" s="18" t="s">
        <v>32</v>
      </c>
    </row>
    <row r="5" spans="1:26" x14ac:dyDescent="0.2">
      <c r="A5" s="8">
        <v>45565</v>
      </c>
      <c r="B5" s="9">
        <v>49.85</v>
      </c>
      <c r="C5" s="10">
        <f t="shared" si="0"/>
        <v>1.2388302193338738E-2</v>
      </c>
      <c r="G5" s="12">
        <f>A38</f>
        <v>44561</v>
      </c>
      <c r="H5" s="13">
        <v>2021</v>
      </c>
      <c r="I5" s="14">
        <f t="shared" si="1"/>
        <v>0.10554803788903899</v>
      </c>
      <c r="J5" s="15">
        <f t="shared" si="2"/>
        <v>1.871840075673268E-2</v>
      </c>
      <c r="O5" s="18" t="s">
        <v>31</v>
      </c>
    </row>
    <row r="6" spans="1:26" x14ac:dyDescent="0.2">
      <c r="A6" s="8">
        <v>45534</v>
      </c>
      <c r="B6" s="9">
        <v>49.24</v>
      </c>
      <c r="C6" s="10">
        <f t="shared" si="0"/>
        <v>1.8828884750672539E-2</v>
      </c>
      <c r="G6" s="12">
        <f>A50</f>
        <v>44196</v>
      </c>
      <c r="H6" s="13">
        <v>2020</v>
      </c>
      <c r="I6" s="14">
        <f t="shared" si="1"/>
        <v>0.13025745602854988</v>
      </c>
      <c r="J6" s="15">
        <f t="shared" si="2"/>
        <v>4.873147483757994E-2</v>
      </c>
      <c r="O6" s="19" t="s">
        <v>33</v>
      </c>
    </row>
    <row r="7" spans="1:26" x14ac:dyDescent="0.2">
      <c r="A7" s="8">
        <v>45504</v>
      </c>
      <c r="B7" s="9">
        <v>48.33</v>
      </c>
      <c r="C7" s="10">
        <f t="shared" si="0"/>
        <v>2.005065428450814E-2</v>
      </c>
      <c r="G7" s="12">
        <f>A62</f>
        <v>43830</v>
      </c>
      <c r="H7" s="13">
        <v>2019</v>
      </c>
      <c r="I7" s="14">
        <f t="shared" si="1"/>
        <v>0.18914822673537368</v>
      </c>
      <c r="J7" s="15">
        <f t="shared" si="2"/>
        <v>2.0867914054442275E-2</v>
      </c>
      <c r="O7" s="18" t="s">
        <v>31</v>
      </c>
    </row>
    <row r="8" spans="1:26" x14ac:dyDescent="0.2">
      <c r="A8" s="8">
        <v>45471</v>
      </c>
      <c r="B8" s="9">
        <v>47.38</v>
      </c>
      <c r="C8" s="10">
        <f t="shared" si="0"/>
        <v>1.7174753112924095E-2</v>
      </c>
      <c r="G8" s="12">
        <f>A74</f>
        <v>43465</v>
      </c>
      <c r="H8" s="13">
        <v>2018</v>
      </c>
      <c r="I8" s="14">
        <f t="shared" si="1"/>
        <v>-4.982718894009186E-2</v>
      </c>
      <c r="J8" s="15">
        <f t="shared" si="2"/>
        <v>2.6298463330151851E-2</v>
      </c>
      <c r="O8" s="18"/>
    </row>
    <row r="9" spans="1:26" x14ac:dyDescent="0.2">
      <c r="A9" s="8">
        <v>45443</v>
      </c>
      <c r="B9" s="9">
        <v>46.58</v>
      </c>
      <c r="C9" s="10">
        <f t="shared" si="0"/>
        <v>3.5341186930428897E-2</v>
      </c>
      <c r="G9" s="12">
        <f>A86</f>
        <v>43098</v>
      </c>
      <c r="H9" s="13">
        <v>2017</v>
      </c>
      <c r="I9" s="14">
        <f t="shared" si="1"/>
        <v>0.11603985856637733</v>
      </c>
      <c r="J9" s="15">
        <f t="shared" si="2"/>
        <v>7.6098595303305937E-3</v>
      </c>
    </row>
    <row r="10" spans="1:26" x14ac:dyDescent="0.2">
      <c r="A10" s="8">
        <v>45412</v>
      </c>
      <c r="B10" s="9">
        <v>44.99</v>
      </c>
      <c r="C10" s="10">
        <f t="shared" si="0"/>
        <v>-3.6410366245448612E-2</v>
      </c>
      <c r="G10" s="12">
        <f>A98</f>
        <v>42734</v>
      </c>
      <c r="H10" s="13">
        <v>2016</v>
      </c>
      <c r="I10" s="14">
        <f t="shared" si="1"/>
        <v>6.4681724845995658E-2</v>
      </c>
      <c r="J10" s="15">
        <f t="shared" si="2"/>
        <v>1.7330881701563015E-2</v>
      </c>
    </row>
    <row r="11" spans="1:26" x14ac:dyDescent="0.2">
      <c r="A11" s="8">
        <v>45379</v>
      </c>
      <c r="B11" s="9">
        <v>46.69</v>
      </c>
      <c r="C11" s="10">
        <f t="shared" si="0"/>
        <v>1.323784722222221E-2</v>
      </c>
      <c r="G11" s="12">
        <f>A110</f>
        <v>42369</v>
      </c>
      <c r="H11" s="13">
        <v>2015</v>
      </c>
      <c r="I11" s="14">
        <f t="shared" si="1"/>
        <v>-1.5498652291105031E-2</v>
      </c>
      <c r="J11" s="15">
        <f t="shared" si="2"/>
        <v>2.2088661208159714E-2</v>
      </c>
    </row>
    <row r="12" spans="1:26" x14ac:dyDescent="0.2">
      <c r="A12" s="8">
        <v>45351</v>
      </c>
      <c r="B12" s="9">
        <v>46.08</v>
      </c>
      <c r="C12" s="10">
        <f t="shared" si="0"/>
        <v>2.7195720017833235E-2</v>
      </c>
      <c r="G12" s="12">
        <f>A122</f>
        <v>42004</v>
      </c>
      <c r="H12" s="13">
        <v>2014</v>
      </c>
      <c r="I12" s="14">
        <f t="shared" si="1"/>
        <v>7.8488372093023395E-2</v>
      </c>
      <c r="J12" s="15">
        <f t="shared" si="2"/>
        <v>1.6416774933851044E-2</v>
      </c>
    </row>
    <row r="13" spans="1:26" x14ac:dyDescent="0.2">
      <c r="A13" s="8">
        <v>45322</v>
      </c>
      <c r="B13" s="9">
        <v>44.86</v>
      </c>
      <c r="C13" s="10">
        <f t="shared" si="0"/>
        <v>6.2808434275460102E-3</v>
      </c>
      <c r="G13" s="12">
        <f>A134</f>
        <v>41639</v>
      </c>
      <c r="H13" s="13">
        <v>2013</v>
      </c>
      <c r="I13" s="14">
        <f t="shared" si="1"/>
        <v>0.15824915824915786</v>
      </c>
      <c r="J13" s="15">
        <f t="shared" si="2"/>
        <v>1.6352713480765852E-2</v>
      </c>
    </row>
    <row r="14" spans="1:26" x14ac:dyDescent="0.2">
      <c r="A14" s="8">
        <v>45289</v>
      </c>
      <c r="B14" s="9">
        <v>44.58</v>
      </c>
      <c r="C14" s="10">
        <f t="shared" si="0"/>
        <v>2.0604395604395573E-2</v>
      </c>
      <c r="D14" s="10" cm="1">
        <f t="array" ref="D14">PRODUCT((1+C14:C25)^(12/12))-1</f>
        <v>0.12433795712484219</v>
      </c>
      <c r="E14" s="11">
        <f t="shared" ref="E14" si="3">_xlfn.STDEV.P(C14:C25)</f>
        <v>3.259106313945466E-2</v>
      </c>
      <c r="G14" s="12">
        <f>A146</f>
        <v>41274</v>
      </c>
      <c r="H14" s="13">
        <v>2012</v>
      </c>
      <c r="I14" s="14">
        <f t="shared" si="1"/>
        <v>9.0909090909090606E-2</v>
      </c>
      <c r="J14" s="15">
        <f t="shared" si="2"/>
        <v>1.6722186115342173E-2</v>
      </c>
    </row>
    <row r="15" spans="1:26" x14ac:dyDescent="0.2">
      <c r="A15" s="8">
        <v>45260</v>
      </c>
      <c r="B15" s="9">
        <v>43.68</v>
      </c>
      <c r="C15" s="10">
        <f t="shared" si="0"/>
        <v>7.4010327022375158E-2</v>
      </c>
      <c r="G15" s="12">
        <f>A158</f>
        <v>40907</v>
      </c>
      <c r="H15" s="13">
        <v>2011</v>
      </c>
      <c r="I15" s="14">
        <f t="shared" si="1"/>
        <v>1.8709073900841977E-2</v>
      </c>
      <c r="J15" s="15">
        <f t="shared" si="2"/>
        <v>2.8450789353813399E-2</v>
      </c>
    </row>
    <row r="16" spans="1:26" x14ac:dyDescent="0.2">
      <c r="A16" s="8">
        <v>45230</v>
      </c>
      <c r="B16" s="9">
        <v>40.67</v>
      </c>
      <c r="C16" s="10">
        <f t="shared" si="0"/>
        <v>-2.1885521885521803E-2</v>
      </c>
      <c r="G16" s="12">
        <f>A170</f>
        <v>40543</v>
      </c>
      <c r="H16" s="13">
        <v>2010</v>
      </c>
      <c r="I16" s="14">
        <f t="shared" si="1"/>
        <v>0.10490956072351398</v>
      </c>
      <c r="J16" s="15">
        <f t="shared" si="2"/>
        <v>2.972407225363979E-2</v>
      </c>
    </row>
    <row r="17" spans="1:10" x14ac:dyDescent="0.2">
      <c r="A17" s="8">
        <v>45198</v>
      </c>
      <c r="B17" s="9">
        <v>41.58</v>
      </c>
      <c r="C17" s="10">
        <f t="shared" si="0"/>
        <v>-4.391814210163264E-2</v>
      </c>
      <c r="G17" s="12">
        <f>A182</f>
        <v>40178</v>
      </c>
      <c r="H17" s="13">
        <v>2009</v>
      </c>
      <c r="I17" s="14">
        <f t="shared" si="1"/>
        <v>0.16566194839641679</v>
      </c>
      <c r="J17" s="15">
        <f t="shared" si="2"/>
        <v>3.9282449301095715E-2</v>
      </c>
    </row>
    <row r="18" spans="1:10" x14ac:dyDescent="0.2">
      <c r="A18" s="8">
        <v>45169</v>
      </c>
      <c r="B18" s="9">
        <v>43.49</v>
      </c>
      <c r="C18" s="10">
        <f t="shared" si="0"/>
        <v>-1.4279238440616399E-2</v>
      </c>
      <c r="G18" s="20">
        <f>A194</f>
        <v>39813</v>
      </c>
      <c r="H18" s="21">
        <v>2008</v>
      </c>
      <c r="I18" s="22">
        <f t="shared" si="1"/>
        <v>-0.24613941871026312</v>
      </c>
      <c r="J18" s="23">
        <f t="shared" si="2"/>
        <v>3.9692084148612417E-2</v>
      </c>
    </row>
    <row r="19" spans="1:10" x14ac:dyDescent="0.2">
      <c r="A19" s="8">
        <v>45138</v>
      </c>
      <c r="B19" s="9">
        <v>44.12</v>
      </c>
      <c r="C19" s="10">
        <f t="shared" si="0"/>
        <v>2.1296296296296171E-2</v>
      </c>
    </row>
    <row r="20" spans="1:10" x14ac:dyDescent="0.2">
      <c r="A20" s="8">
        <v>45107</v>
      </c>
      <c r="B20" s="9">
        <v>43.2</v>
      </c>
      <c r="C20" s="10">
        <f t="shared" si="0"/>
        <v>3.3987553853518468E-2</v>
      </c>
    </row>
    <row r="21" spans="1:10" x14ac:dyDescent="0.2">
      <c r="A21" s="8">
        <v>45077</v>
      </c>
      <c r="B21" s="9">
        <v>41.78</v>
      </c>
      <c r="C21" s="10">
        <f t="shared" si="0"/>
        <v>-1.911132345914914E-3</v>
      </c>
    </row>
    <row r="22" spans="1:10" x14ac:dyDescent="0.2">
      <c r="A22" s="8">
        <v>45044</v>
      </c>
      <c r="B22" s="9">
        <v>41.86</v>
      </c>
      <c r="C22" s="10">
        <f t="shared" si="0"/>
        <v>8.6746987951807093E-3</v>
      </c>
    </row>
    <row r="23" spans="1:10" x14ac:dyDescent="0.2">
      <c r="A23" s="8">
        <v>45016</v>
      </c>
      <c r="B23" s="9">
        <v>41.5</v>
      </c>
      <c r="C23" s="10">
        <f t="shared" si="0"/>
        <v>1.7406227016425614E-2</v>
      </c>
    </row>
    <row r="24" spans="1:10" x14ac:dyDescent="0.2">
      <c r="A24" s="8">
        <v>44985</v>
      </c>
      <c r="B24" s="9">
        <v>40.79</v>
      </c>
      <c r="C24" s="10">
        <f t="shared" si="0"/>
        <v>-2.4162679425837275E-2</v>
      </c>
    </row>
    <row r="25" spans="1:10" x14ac:dyDescent="0.2">
      <c r="A25" s="8">
        <v>44957</v>
      </c>
      <c r="B25" s="9">
        <v>41.8</v>
      </c>
      <c r="C25" s="10">
        <f t="shared" si="0"/>
        <v>5.4224464060529602E-2</v>
      </c>
    </row>
    <row r="26" spans="1:10" x14ac:dyDescent="0.2">
      <c r="A26" s="8">
        <v>44925</v>
      </c>
      <c r="B26" s="9">
        <v>39.65</v>
      </c>
      <c r="C26" s="10">
        <f t="shared" si="0"/>
        <v>-4.7561854431900162E-2</v>
      </c>
      <c r="D26" s="10" cm="1">
        <f t="array" ref="D26">PRODUCT((1+C26:C37)^(12/12))-1</f>
        <v>-0.19114647082823377</v>
      </c>
      <c r="E26" s="11">
        <f t="shared" ref="E26" si="4">_xlfn.STDEV.P(C26:C37)</f>
        <v>4.5891380436133979E-2</v>
      </c>
    </row>
    <row r="27" spans="1:10" x14ac:dyDescent="0.2">
      <c r="A27" s="8">
        <v>44895</v>
      </c>
      <c r="B27" s="9">
        <v>41.63</v>
      </c>
      <c r="C27" s="10">
        <f t="shared" si="0"/>
        <v>4.6242774566474076E-2</v>
      </c>
    </row>
    <row r="28" spans="1:10" x14ac:dyDescent="0.2">
      <c r="A28" s="8">
        <v>44865</v>
      </c>
      <c r="B28" s="9">
        <v>39.79</v>
      </c>
      <c r="C28" s="10">
        <f t="shared" si="0"/>
        <v>4.2714884696016843E-2</v>
      </c>
    </row>
    <row r="29" spans="1:10" x14ac:dyDescent="0.2">
      <c r="A29" s="8">
        <v>44834</v>
      </c>
      <c r="B29" s="9">
        <v>38.159999999999997</v>
      </c>
      <c r="C29" s="10">
        <f t="shared" si="0"/>
        <v>-7.7146311970979556E-2</v>
      </c>
    </row>
    <row r="30" spans="1:10" x14ac:dyDescent="0.2">
      <c r="A30" s="8">
        <v>44804</v>
      </c>
      <c r="B30" s="9">
        <v>41.35</v>
      </c>
      <c r="C30" s="10">
        <f t="shared" si="0"/>
        <v>-3.2974742750233786E-2</v>
      </c>
    </row>
    <row r="31" spans="1:10" x14ac:dyDescent="0.2">
      <c r="A31" s="8">
        <v>44771</v>
      </c>
      <c r="B31" s="9">
        <v>42.76</v>
      </c>
      <c r="C31" s="10">
        <f t="shared" si="0"/>
        <v>6.5006226650062254E-2</v>
      </c>
    </row>
    <row r="32" spans="1:10" x14ac:dyDescent="0.2">
      <c r="A32" s="8">
        <v>44742</v>
      </c>
      <c r="B32" s="9">
        <v>40.15</v>
      </c>
      <c r="C32" s="10">
        <f t="shared" si="0"/>
        <v>-6.1038353601496717E-2</v>
      </c>
    </row>
    <row r="33" spans="1:5" x14ac:dyDescent="0.2">
      <c r="A33" s="8">
        <v>44712</v>
      </c>
      <c r="B33" s="9">
        <v>42.76</v>
      </c>
      <c r="C33" s="10">
        <f t="shared" si="0"/>
        <v>1.4051522248242428E-3</v>
      </c>
    </row>
    <row r="34" spans="1:5" x14ac:dyDescent="0.2">
      <c r="A34" s="8">
        <v>44680</v>
      </c>
      <c r="B34" s="9">
        <v>42.7</v>
      </c>
      <c r="C34" s="10">
        <f t="shared" si="0"/>
        <v>-6.991940753648429E-2</v>
      </c>
    </row>
    <row r="35" spans="1:5" x14ac:dyDescent="0.2">
      <c r="A35" s="8">
        <v>44651</v>
      </c>
      <c r="B35" s="9">
        <v>45.91</v>
      </c>
      <c r="C35" s="10">
        <f t="shared" si="0"/>
        <v>4.3582479843094399E-4</v>
      </c>
    </row>
    <row r="36" spans="1:5" x14ac:dyDescent="0.2">
      <c r="A36" s="8">
        <v>44620</v>
      </c>
      <c r="B36" s="9">
        <v>45.89</v>
      </c>
      <c r="C36" s="10">
        <f t="shared" si="0"/>
        <v>-1.9653920102542227E-2</v>
      </c>
    </row>
    <row r="37" spans="1:5" x14ac:dyDescent="0.2">
      <c r="A37" s="8">
        <v>44592</v>
      </c>
      <c r="B37" s="9">
        <v>46.81</v>
      </c>
      <c r="C37" s="10">
        <f t="shared" si="0"/>
        <v>-4.5083639330885369E-2</v>
      </c>
    </row>
    <row r="38" spans="1:5" x14ac:dyDescent="0.2">
      <c r="A38" s="8">
        <v>44561</v>
      </c>
      <c r="B38" s="9">
        <v>49.02</v>
      </c>
      <c r="C38" s="10">
        <f t="shared" si="0"/>
        <v>3.6855036855036796E-3</v>
      </c>
      <c r="D38" s="10" cm="1">
        <f t="array" ref="D38">PRODUCT((1+C38:C49)^(12/12))-1</f>
        <v>0.10554803788903899</v>
      </c>
      <c r="E38" s="11">
        <f t="shared" ref="E38" si="5">_xlfn.STDEV.P(C38:C49)</f>
        <v>1.871840075673268E-2</v>
      </c>
    </row>
    <row r="39" spans="1:5" x14ac:dyDescent="0.2">
      <c r="A39" s="8">
        <v>44530</v>
      </c>
      <c r="B39" s="9">
        <v>48.84</v>
      </c>
      <c r="C39" s="10">
        <f t="shared" si="0"/>
        <v>-7.5187969924811505E-3</v>
      </c>
    </row>
    <row r="40" spans="1:5" x14ac:dyDescent="0.2">
      <c r="A40" s="8">
        <v>44498</v>
      </c>
      <c r="B40" s="9">
        <v>49.21</v>
      </c>
      <c r="C40" s="10">
        <f t="shared" si="0"/>
        <v>4.0380549682875348E-2</v>
      </c>
    </row>
    <row r="41" spans="1:5" x14ac:dyDescent="0.2">
      <c r="A41" s="8">
        <v>44469</v>
      </c>
      <c r="B41" s="9">
        <v>47.3</v>
      </c>
      <c r="C41" s="10">
        <f t="shared" si="0"/>
        <v>-3.4496836088997854E-2</v>
      </c>
    </row>
    <row r="42" spans="1:5" x14ac:dyDescent="0.2">
      <c r="A42" s="8">
        <v>44439</v>
      </c>
      <c r="B42" s="9">
        <v>48.99</v>
      </c>
      <c r="C42" s="10">
        <f t="shared" si="0"/>
        <v>1.6600954554886995E-2</v>
      </c>
    </row>
    <row r="43" spans="1:5" x14ac:dyDescent="0.2">
      <c r="A43" s="8">
        <v>44407</v>
      </c>
      <c r="B43" s="9">
        <v>48.19</v>
      </c>
      <c r="C43" s="10">
        <f t="shared" si="0"/>
        <v>1.4953664700926725E-2</v>
      </c>
    </row>
    <row r="44" spans="1:5" x14ac:dyDescent="0.2">
      <c r="A44" s="8">
        <v>44377</v>
      </c>
      <c r="B44" s="9">
        <v>47.48</v>
      </c>
      <c r="C44" s="10">
        <f t="shared" si="0"/>
        <v>1.5180671370536533E-2</v>
      </c>
    </row>
    <row r="45" spans="1:5" x14ac:dyDescent="0.2">
      <c r="A45" s="8">
        <v>44344</v>
      </c>
      <c r="B45" s="9">
        <v>46.77</v>
      </c>
      <c r="C45" s="10">
        <f t="shared" si="0"/>
        <v>3.6480686695279335E-3</v>
      </c>
    </row>
    <row r="46" spans="1:5" x14ac:dyDescent="0.2">
      <c r="A46" s="8">
        <v>44316</v>
      </c>
      <c r="B46" s="9">
        <v>46.6</v>
      </c>
      <c r="C46" s="10">
        <f t="shared" si="0"/>
        <v>3.4635879218472519E-2</v>
      </c>
    </row>
    <row r="47" spans="1:5" x14ac:dyDescent="0.2">
      <c r="A47" s="8">
        <v>44286</v>
      </c>
      <c r="B47" s="9">
        <v>45.04</v>
      </c>
      <c r="C47" s="10">
        <f t="shared" si="0"/>
        <v>7.8317296934437564E-3</v>
      </c>
    </row>
    <row r="48" spans="1:5" x14ac:dyDescent="0.2">
      <c r="A48" s="8">
        <v>44253</v>
      </c>
      <c r="B48" s="9">
        <v>44.69</v>
      </c>
      <c r="C48" s="10">
        <f t="shared" si="0"/>
        <v>1.2919310970081603E-2</v>
      </c>
    </row>
    <row r="49" spans="1:5" x14ac:dyDescent="0.2">
      <c r="A49" s="8">
        <v>44225</v>
      </c>
      <c r="B49" s="9">
        <v>44.12</v>
      </c>
      <c r="C49" s="10">
        <f t="shared" si="0"/>
        <v>-4.9616599007669361E-3</v>
      </c>
    </row>
    <row r="50" spans="1:5" x14ac:dyDescent="0.2">
      <c r="A50" s="8">
        <v>44196</v>
      </c>
      <c r="B50" s="9">
        <v>44.34</v>
      </c>
      <c r="C50" s="10">
        <f t="shared" si="0"/>
        <v>1.4645308924485139E-2</v>
      </c>
      <c r="D50" s="10" cm="1">
        <f t="array" ref="D50">PRODUCT((1+C50:C61)^(12/12))-1</f>
        <v>0.13025745602854988</v>
      </c>
      <c r="E50" s="11">
        <f t="shared" ref="E50" si="6">_xlfn.STDEV.P(C50:C61)</f>
        <v>4.873147483757994E-2</v>
      </c>
    </row>
    <row r="51" spans="1:5" x14ac:dyDescent="0.2">
      <c r="A51" s="8">
        <v>44165</v>
      </c>
      <c r="B51" s="9">
        <v>43.7</v>
      </c>
      <c r="C51" s="10">
        <f t="shared" si="0"/>
        <v>7.6354679802955697E-2</v>
      </c>
    </row>
    <row r="52" spans="1:5" x14ac:dyDescent="0.2">
      <c r="A52" s="8">
        <v>44134</v>
      </c>
      <c r="B52" s="9">
        <v>40.6</v>
      </c>
      <c r="C52" s="10">
        <f t="shared" si="0"/>
        <v>-1.4563106796116538E-2</v>
      </c>
    </row>
    <row r="53" spans="1:5" x14ac:dyDescent="0.2">
      <c r="A53" s="8">
        <v>44104</v>
      </c>
      <c r="B53" s="9">
        <v>41.2</v>
      </c>
      <c r="C53" s="10">
        <f t="shared" si="0"/>
        <v>-2.531346108351077E-2</v>
      </c>
    </row>
    <row r="54" spans="1:5" x14ac:dyDescent="0.2">
      <c r="A54" s="8">
        <v>44074</v>
      </c>
      <c r="B54" s="9">
        <v>42.27</v>
      </c>
      <c r="C54" s="10">
        <f t="shared" si="0"/>
        <v>3.8830179405259416E-2</v>
      </c>
    </row>
    <row r="55" spans="1:5" x14ac:dyDescent="0.2">
      <c r="A55" s="8">
        <v>44043</v>
      </c>
      <c r="B55" s="9">
        <v>40.69</v>
      </c>
      <c r="C55" s="10">
        <f t="shared" si="0"/>
        <v>3.9867109634551368E-2</v>
      </c>
    </row>
    <row r="56" spans="1:5" x14ac:dyDescent="0.2">
      <c r="A56" s="8">
        <v>44012</v>
      </c>
      <c r="B56" s="9">
        <v>39.130000000000003</v>
      </c>
      <c r="C56" s="10">
        <f t="shared" si="0"/>
        <v>1.2681159420289906E-2</v>
      </c>
    </row>
    <row r="57" spans="1:5" x14ac:dyDescent="0.2">
      <c r="A57" s="8">
        <v>43980</v>
      </c>
      <c r="B57" s="9">
        <v>38.64</v>
      </c>
      <c r="C57" s="10">
        <f t="shared" si="0"/>
        <v>2.6567481402763018E-2</v>
      </c>
    </row>
    <row r="58" spans="1:5" x14ac:dyDescent="0.2">
      <c r="A58" s="8">
        <v>43950</v>
      </c>
      <c r="B58" s="9">
        <v>37.64</v>
      </c>
      <c r="C58" s="10">
        <f t="shared" si="0"/>
        <v>9.4186046511627972E-2</v>
      </c>
    </row>
    <row r="59" spans="1:5" x14ac:dyDescent="0.2">
      <c r="A59" s="8">
        <v>43921</v>
      </c>
      <c r="B59" s="9">
        <v>34.4</v>
      </c>
      <c r="C59" s="10">
        <f t="shared" si="0"/>
        <v>-9.2108735814199053E-2</v>
      </c>
    </row>
    <row r="60" spans="1:5" x14ac:dyDescent="0.2">
      <c r="A60" s="8">
        <v>43889</v>
      </c>
      <c r="B60" s="9">
        <v>37.89</v>
      </c>
      <c r="C60" s="10">
        <f t="shared" si="0"/>
        <v>-4.2214357937310452E-2</v>
      </c>
    </row>
    <row r="61" spans="1:5" x14ac:dyDescent="0.2">
      <c r="A61" s="8">
        <v>43861</v>
      </c>
      <c r="B61" s="9">
        <v>39.56</v>
      </c>
      <c r="C61" s="10">
        <f t="shared" si="0"/>
        <v>8.411929645679465E-3</v>
      </c>
    </row>
    <row r="62" spans="1:5" x14ac:dyDescent="0.2">
      <c r="A62" s="8">
        <v>43830</v>
      </c>
      <c r="B62" s="9">
        <v>39.229999999999997</v>
      </c>
      <c r="C62" s="10">
        <f t="shared" si="0"/>
        <v>9.0020576131685775E-3</v>
      </c>
      <c r="D62" s="10" cm="1">
        <f t="array" ref="D62">PRODUCT((1+C62:C73)^(12/12))-1</f>
        <v>0.18914822673537368</v>
      </c>
      <c r="E62" s="11">
        <f t="shared" ref="E62" si="7">_xlfn.STDEV.P(C62:C73)</f>
        <v>2.0867914054442275E-2</v>
      </c>
    </row>
    <row r="63" spans="1:5" x14ac:dyDescent="0.2">
      <c r="A63" s="8">
        <v>43798</v>
      </c>
      <c r="B63" s="9">
        <v>38.880000000000003</v>
      </c>
      <c r="C63" s="10">
        <f t="shared" si="0"/>
        <v>2.2350775703392094E-2</v>
      </c>
    </row>
    <row r="64" spans="1:5" x14ac:dyDescent="0.2">
      <c r="A64" s="8">
        <v>43769</v>
      </c>
      <c r="B64" s="9">
        <v>38.03</v>
      </c>
      <c r="C64" s="10">
        <f t="shared" si="0"/>
        <v>1.3862969874700164E-2</v>
      </c>
    </row>
    <row r="65" spans="1:5" x14ac:dyDescent="0.2">
      <c r="A65" s="8">
        <v>43738</v>
      </c>
      <c r="B65" s="9">
        <v>37.51</v>
      </c>
      <c r="C65" s="10">
        <f t="shared" si="0"/>
        <v>3.2094142818934858E-3</v>
      </c>
    </row>
    <row r="66" spans="1:5" x14ac:dyDescent="0.2">
      <c r="A66" s="8">
        <v>43707</v>
      </c>
      <c r="B66" s="9">
        <v>37.39</v>
      </c>
      <c r="C66" s="10">
        <f t="shared" ref="C66:C129" si="8">(B66-B67)/B67</f>
        <v>-1.0686615014693869E-3</v>
      </c>
    </row>
    <row r="67" spans="1:5" x14ac:dyDescent="0.2">
      <c r="A67" s="8">
        <v>43677</v>
      </c>
      <c r="B67" s="9">
        <v>37.43</v>
      </c>
      <c r="C67" s="10">
        <f t="shared" si="8"/>
        <v>9.7113568923657793E-3</v>
      </c>
    </row>
    <row r="68" spans="1:5" x14ac:dyDescent="0.2">
      <c r="A68" s="8">
        <v>43644</v>
      </c>
      <c r="B68" s="9">
        <v>37.07</v>
      </c>
      <c r="C68" s="10">
        <f t="shared" si="8"/>
        <v>4.1292134831460638E-2</v>
      </c>
    </row>
    <row r="69" spans="1:5" x14ac:dyDescent="0.2">
      <c r="A69" s="8">
        <v>43616</v>
      </c>
      <c r="B69" s="9">
        <v>35.6</v>
      </c>
      <c r="C69" s="10">
        <f t="shared" si="8"/>
        <v>-3.2082653616095698E-2</v>
      </c>
    </row>
    <row r="70" spans="1:5" x14ac:dyDescent="0.2">
      <c r="A70" s="8">
        <v>43585</v>
      </c>
      <c r="B70" s="9">
        <v>36.78</v>
      </c>
      <c r="C70" s="10">
        <f t="shared" si="8"/>
        <v>2.3942093541202657E-2</v>
      </c>
    </row>
    <row r="71" spans="1:5" x14ac:dyDescent="0.2">
      <c r="A71" s="8">
        <v>43553</v>
      </c>
      <c r="B71" s="9">
        <v>35.92</v>
      </c>
      <c r="C71" s="10">
        <f t="shared" si="8"/>
        <v>1.0123734533183335E-2</v>
      </c>
    </row>
    <row r="72" spans="1:5" x14ac:dyDescent="0.2">
      <c r="A72" s="8">
        <v>43524</v>
      </c>
      <c r="B72" s="9">
        <v>35.56</v>
      </c>
      <c r="C72" s="10">
        <f t="shared" si="8"/>
        <v>2.0958943439563709E-2</v>
      </c>
    </row>
    <row r="73" spans="1:5" x14ac:dyDescent="0.2">
      <c r="A73" s="8">
        <v>43496</v>
      </c>
      <c r="B73" s="9">
        <v>34.83</v>
      </c>
      <c r="C73" s="10">
        <f t="shared" si="8"/>
        <v>5.5774477114276938E-2</v>
      </c>
    </row>
    <row r="74" spans="1:5" x14ac:dyDescent="0.2">
      <c r="A74" s="8">
        <v>43465</v>
      </c>
      <c r="B74" s="9">
        <v>32.99</v>
      </c>
      <c r="C74" s="10">
        <f t="shared" si="8"/>
        <v>-5.4998567745631471E-2</v>
      </c>
      <c r="D74" s="10" cm="1">
        <f t="array" ref="D74">PRODUCT((1+C74:C85)^(12/12))-1</f>
        <v>-4.982718894009186E-2</v>
      </c>
      <c r="E74" s="11">
        <f t="shared" ref="E74" si="9">_xlfn.STDEV.P(C74:C85)</f>
        <v>2.6298463330151851E-2</v>
      </c>
    </row>
    <row r="75" spans="1:5" x14ac:dyDescent="0.2">
      <c r="A75" s="8">
        <v>43434</v>
      </c>
      <c r="B75" s="9">
        <v>34.909999999999997</v>
      </c>
      <c r="C75" s="10">
        <f t="shared" si="8"/>
        <v>1.4530659691950016E-2</v>
      </c>
    </row>
    <row r="76" spans="1:5" x14ac:dyDescent="0.2">
      <c r="A76" s="8">
        <v>43404</v>
      </c>
      <c r="B76" s="9">
        <v>34.409999999999997</v>
      </c>
      <c r="C76" s="10">
        <f t="shared" si="8"/>
        <v>-4.7078371642204457E-2</v>
      </c>
    </row>
    <row r="77" spans="1:5" x14ac:dyDescent="0.2">
      <c r="A77" s="8">
        <v>43371</v>
      </c>
      <c r="B77" s="9">
        <v>36.11</v>
      </c>
      <c r="C77" s="10">
        <f t="shared" si="8"/>
        <v>-7.1487489689303829E-3</v>
      </c>
    </row>
    <row r="78" spans="1:5" x14ac:dyDescent="0.2">
      <c r="A78" s="8">
        <v>43343</v>
      </c>
      <c r="B78" s="9">
        <v>36.369999999999997</v>
      </c>
      <c r="C78" s="10">
        <f t="shared" si="8"/>
        <v>2.3353967360720269E-2</v>
      </c>
    </row>
    <row r="79" spans="1:5" x14ac:dyDescent="0.2">
      <c r="A79" s="8">
        <v>43312</v>
      </c>
      <c r="B79" s="9">
        <v>35.54</v>
      </c>
      <c r="C79" s="10">
        <f t="shared" si="8"/>
        <v>2.0091848450057282E-2</v>
      </c>
    </row>
    <row r="80" spans="1:5" x14ac:dyDescent="0.2">
      <c r="A80" s="8">
        <v>43280</v>
      </c>
      <c r="B80" s="9">
        <v>34.840000000000003</v>
      </c>
      <c r="C80" s="10">
        <f t="shared" si="8"/>
        <v>-1.1467889908256636E-3</v>
      </c>
    </row>
    <row r="81" spans="1:5" x14ac:dyDescent="0.2">
      <c r="A81" s="8">
        <v>43251</v>
      </c>
      <c r="B81" s="9">
        <v>34.880000000000003</v>
      </c>
      <c r="C81" s="10">
        <f t="shared" si="8"/>
        <v>1.9584916691026064E-2</v>
      </c>
    </row>
    <row r="82" spans="1:5" x14ac:dyDescent="0.2">
      <c r="A82" s="8">
        <v>43220</v>
      </c>
      <c r="B82" s="9">
        <v>34.21</v>
      </c>
      <c r="C82" s="10">
        <f t="shared" si="8"/>
        <v>-5.8428279287163379E-4</v>
      </c>
    </row>
    <row r="83" spans="1:5" x14ac:dyDescent="0.2">
      <c r="A83" s="8">
        <v>43188</v>
      </c>
      <c r="B83" s="9">
        <v>34.229999999999997</v>
      </c>
      <c r="C83" s="10">
        <f t="shared" si="8"/>
        <v>-1.4680483592400838E-2</v>
      </c>
    </row>
    <row r="84" spans="1:5" x14ac:dyDescent="0.2">
      <c r="A84" s="8">
        <v>43159</v>
      </c>
      <c r="B84" s="9">
        <v>34.74</v>
      </c>
      <c r="C84" s="10">
        <f t="shared" si="8"/>
        <v>-2.6072329688814119E-2</v>
      </c>
    </row>
    <row r="85" spans="1:5" x14ac:dyDescent="0.2">
      <c r="A85" s="8">
        <v>43131</v>
      </c>
      <c r="B85" s="9">
        <v>35.67</v>
      </c>
      <c r="C85" s="10">
        <f t="shared" si="8"/>
        <v>2.7361751152073815E-2</v>
      </c>
    </row>
    <row r="86" spans="1:5" x14ac:dyDescent="0.2">
      <c r="A86" s="8">
        <v>43098</v>
      </c>
      <c r="B86" s="9">
        <v>34.72</v>
      </c>
      <c r="C86" s="10">
        <f t="shared" si="8"/>
        <v>2.5989026855326681E-3</v>
      </c>
      <c r="D86" s="10" cm="1">
        <f t="array" ref="D86">PRODUCT((1+C86:C97)^(12/12))-1</f>
        <v>0.11603985856637733</v>
      </c>
      <c r="E86" s="11">
        <f t="shared" ref="E86" si="10">_xlfn.STDEV.P(C86:C97)</f>
        <v>7.6098595303305937E-3</v>
      </c>
    </row>
    <row r="87" spans="1:5" x14ac:dyDescent="0.2">
      <c r="A87" s="8">
        <v>43069</v>
      </c>
      <c r="B87" s="9">
        <v>34.630000000000003</v>
      </c>
      <c r="C87" s="10">
        <f t="shared" si="8"/>
        <v>1.7631501616221023E-2</v>
      </c>
    </row>
    <row r="88" spans="1:5" x14ac:dyDescent="0.2">
      <c r="A88" s="8">
        <v>43039</v>
      </c>
      <c r="B88" s="9">
        <v>34.03</v>
      </c>
      <c r="C88" s="10">
        <f t="shared" si="8"/>
        <v>1.3400833829660598E-2</v>
      </c>
    </row>
    <row r="89" spans="1:5" x14ac:dyDescent="0.2">
      <c r="A89" s="8">
        <v>43007</v>
      </c>
      <c r="B89" s="9">
        <v>33.58</v>
      </c>
      <c r="C89" s="10">
        <f t="shared" si="8"/>
        <v>7.1985602879422574E-3</v>
      </c>
    </row>
    <row r="90" spans="1:5" x14ac:dyDescent="0.2">
      <c r="A90" s="8">
        <v>42978</v>
      </c>
      <c r="B90" s="9">
        <v>33.340000000000003</v>
      </c>
      <c r="C90" s="10">
        <f t="shared" si="8"/>
        <v>4.5194335643267761E-3</v>
      </c>
    </row>
    <row r="91" spans="1:5" x14ac:dyDescent="0.2">
      <c r="A91" s="8">
        <v>42947</v>
      </c>
      <c r="B91" s="9">
        <v>33.19</v>
      </c>
      <c r="C91" s="10">
        <f t="shared" si="8"/>
        <v>1.2816600549282714E-2</v>
      </c>
    </row>
    <row r="92" spans="1:5" x14ac:dyDescent="0.2">
      <c r="A92" s="8">
        <v>42916</v>
      </c>
      <c r="B92" s="9">
        <v>32.770000000000003</v>
      </c>
      <c r="C92" s="10">
        <f t="shared" si="8"/>
        <v>9.1631032376301568E-4</v>
      </c>
    </row>
    <row r="93" spans="1:5" x14ac:dyDescent="0.2">
      <c r="A93" s="8">
        <v>42886</v>
      </c>
      <c r="B93" s="9">
        <v>32.74</v>
      </c>
      <c r="C93" s="10">
        <f t="shared" si="8"/>
        <v>9.2478421701604283E-3</v>
      </c>
    </row>
    <row r="94" spans="1:5" x14ac:dyDescent="0.2">
      <c r="A94" s="8">
        <v>42853</v>
      </c>
      <c r="B94" s="9">
        <v>32.44</v>
      </c>
      <c r="C94" s="10">
        <f t="shared" si="8"/>
        <v>9.3341630367142856E-3</v>
      </c>
    </row>
    <row r="95" spans="1:5" x14ac:dyDescent="0.2">
      <c r="A95" s="8">
        <v>42825</v>
      </c>
      <c r="B95" s="9">
        <v>32.14</v>
      </c>
      <c r="C95" s="10">
        <f t="shared" si="8"/>
        <v>-4.6454010529575285E-3</v>
      </c>
    </row>
    <row r="96" spans="1:5" x14ac:dyDescent="0.2">
      <c r="A96" s="8">
        <v>42794</v>
      </c>
      <c r="B96" s="9">
        <v>32.29</v>
      </c>
      <c r="C96" s="10">
        <f t="shared" si="8"/>
        <v>2.5079365079365052E-2</v>
      </c>
    </row>
    <row r="97" spans="1:5" x14ac:dyDescent="0.2">
      <c r="A97" s="8">
        <v>42766</v>
      </c>
      <c r="B97" s="9">
        <v>31.5</v>
      </c>
      <c r="C97" s="10">
        <f t="shared" si="8"/>
        <v>1.2536162005785939E-2</v>
      </c>
    </row>
    <row r="98" spans="1:5" x14ac:dyDescent="0.2">
      <c r="A98" s="8">
        <v>42734</v>
      </c>
      <c r="B98" s="9">
        <v>31.11</v>
      </c>
      <c r="C98" s="10">
        <f t="shared" si="8"/>
        <v>5.8195926285159946E-3</v>
      </c>
      <c r="D98" s="10" cm="1">
        <f t="array" ref="D98">PRODUCT((1+C98:C109)^(12/12))-1</f>
        <v>6.4681724845995658E-2</v>
      </c>
      <c r="E98" s="11">
        <f t="shared" ref="E98" si="11">_xlfn.STDEV.P(C98:C109)</f>
        <v>1.7330881701563015E-2</v>
      </c>
    </row>
    <row r="99" spans="1:5" x14ac:dyDescent="0.2">
      <c r="A99" s="8">
        <v>42704</v>
      </c>
      <c r="B99" s="9">
        <v>30.93</v>
      </c>
      <c r="C99" s="10">
        <f t="shared" si="8"/>
        <v>1.6431153466973381E-2</v>
      </c>
    </row>
    <row r="100" spans="1:5" x14ac:dyDescent="0.2">
      <c r="A100" s="8">
        <v>42674</v>
      </c>
      <c r="B100" s="9">
        <v>30.43</v>
      </c>
      <c r="C100" s="10">
        <f t="shared" si="8"/>
        <v>-1.6801292407108225E-2</v>
      </c>
    </row>
    <row r="101" spans="1:5" x14ac:dyDescent="0.2">
      <c r="A101" s="8">
        <v>42643</v>
      </c>
      <c r="B101" s="9">
        <v>30.95</v>
      </c>
      <c r="C101" s="10">
        <f t="shared" si="8"/>
        <v>-4.5030556449019163E-3</v>
      </c>
    </row>
    <row r="102" spans="1:5" x14ac:dyDescent="0.2">
      <c r="A102" s="8">
        <v>42613</v>
      </c>
      <c r="B102" s="9">
        <v>31.09</v>
      </c>
      <c r="C102" s="10">
        <f t="shared" si="8"/>
        <v>9.658725048293992E-4</v>
      </c>
    </row>
    <row r="103" spans="1:5" x14ac:dyDescent="0.2">
      <c r="A103" s="8">
        <v>42580</v>
      </c>
      <c r="B103" s="9">
        <v>31.06</v>
      </c>
      <c r="C103" s="10">
        <f t="shared" si="8"/>
        <v>2.6437541308658198E-2</v>
      </c>
    </row>
    <row r="104" spans="1:5" x14ac:dyDescent="0.2">
      <c r="A104" s="8">
        <v>42551</v>
      </c>
      <c r="B104" s="9">
        <v>30.26</v>
      </c>
      <c r="C104" s="10">
        <f t="shared" si="8"/>
        <v>4.3146365748424351E-3</v>
      </c>
    </row>
    <row r="105" spans="1:5" x14ac:dyDescent="0.2">
      <c r="A105" s="8">
        <v>42521</v>
      </c>
      <c r="B105" s="9">
        <v>30.13</v>
      </c>
      <c r="C105" s="10">
        <f t="shared" si="8"/>
        <v>1.0734652801073476E-2</v>
      </c>
    </row>
    <row r="106" spans="1:5" x14ac:dyDescent="0.2">
      <c r="A106" s="8">
        <v>42489</v>
      </c>
      <c r="B106" s="9">
        <v>29.81</v>
      </c>
      <c r="C106" s="10">
        <f t="shared" si="8"/>
        <v>5.3962900505902245E-3</v>
      </c>
    </row>
    <row r="107" spans="1:5" x14ac:dyDescent="0.2">
      <c r="A107" s="8">
        <v>42460</v>
      </c>
      <c r="B107" s="9">
        <v>29.65</v>
      </c>
      <c r="C107" s="10">
        <f t="shared" si="8"/>
        <v>4.1081460674157237E-2</v>
      </c>
    </row>
    <row r="108" spans="1:5" x14ac:dyDescent="0.2">
      <c r="A108" s="8">
        <v>42429</v>
      </c>
      <c r="B108" s="9">
        <v>28.48</v>
      </c>
      <c r="C108" s="10">
        <f t="shared" si="8"/>
        <v>2.8169014084507694E-3</v>
      </c>
    </row>
    <row r="109" spans="1:5" x14ac:dyDescent="0.2">
      <c r="A109" s="8">
        <v>42398</v>
      </c>
      <c r="B109" s="9">
        <v>28.4</v>
      </c>
      <c r="C109" s="10">
        <f t="shared" si="8"/>
        <v>-2.8062970568104049E-2</v>
      </c>
    </row>
    <row r="110" spans="1:5" x14ac:dyDescent="0.2">
      <c r="A110" s="8">
        <v>42369</v>
      </c>
      <c r="B110" s="9">
        <v>29.22</v>
      </c>
      <c r="C110" s="10">
        <f t="shared" si="8"/>
        <v>-1.9792016101979198E-2</v>
      </c>
      <c r="D110" s="10" cm="1">
        <f t="array" ref="D110">PRODUCT((1+C110:C121)^(12/12))-1</f>
        <v>-1.5498652291105031E-2</v>
      </c>
      <c r="E110" s="11">
        <f t="shared" ref="E110" si="12">_xlfn.STDEV.P(C110:C121)</f>
        <v>2.2088661208159714E-2</v>
      </c>
    </row>
    <row r="111" spans="1:5" x14ac:dyDescent="0.2">
      <c r="A111" s="8">
        <v>42338</v>
      </c>
      <c r="B111" s="9">
        <v>29.81</v>
      </c>
      <c r="C111" s="10">
        <f t="shared" si="8"/>
        <v>2.0168067226890326E-3</v>
      </c>
    </row>
    <row r="112" spans="1:5" x14ac:dyDescent="0.2">
      <c r="A112" s="8">
        <v>42307</v>
      </c>
      <c r="B112" s="9">
        <v>29.75</v>
      </c>
      <c r="C112" s="10">
        <f t="shared" si="8"/>
        <v>4.6429827646851926E-2</v>
      </c>
    </row>
    <row r="113" spans="1:5" x14ac:dyDescent="0.2">
      <c r="A113" s="8">
        <v>42277</v>
      </c>
      <c r="B113" s="9">
        <v>28.43</v>
      </c>
      <c r="C113" s="10">
        <f t="shared" si="8"/>
        <v>-1.9655172413793113E-2</v>
      </c>
    </row>
    <row r="114" spans="1:5" x14ac:dyDescent="0.2">
      <c r="A114" s="8">
        <v>42247</v>
      </c>
      <c r="B114" s="24">
        <v>29</v>
      </c>
      <c r="C114" s="10">
        <f t="shared" si="8"/>
        <v>-3.6864828960478227E-2</v>
      </c>
    </row>
    <row r="115" spans="1:5" x14ac:dyDescent="0.2">
      <c r="A115" s="8">
        <v>42216</v>
      </c>
      <c r="B115" s="9">
        <v>30.11</v>
      </c>
      <c r="C115" s="10">
        <f t="shared" si="8"/>
        <v>1.3122476446837165E-2</v>
      </c>
    </row>
    <row r="116" spans="1:5" x14ac:dyDescent="0.2">
      <c r="A116" s="8">
        <v>42185</v>
      </c>
      <c r="B116" s="9">
        <v>29.72</v>
      </c>
      <c r="C116" s="10">
        <f t="shared" si="8"/>
        <v>-1.8494055482166521E-2</v>
      </c>
    </row>
    <row r="117" spans="1:5" x14ac:dyDescent="0.2">
      <c r="A117" s="8">
        <v>42153</v>
      </c>
      <c r="B117" s="9">
        <v>30.28</v>
      </c>
      <c r="C117" s="10">
        <f t="shared" si="8"/>
        <v>6.6489361702128606E-3</v>
      </c>
    </row>
    <row r="118" spans="1:5" x14ac:dyDescent="0.2">
      <c r="A118" s="8">
        <v>42124</v>
      </c>
      <c r="B118" s="9">
        <v>30.08</v>
      </c>
      <c r="C118" s="10">
        <f t="shared" si="8"/>
        <v>9.9833610648910427E-4</v>
      </c>
    </row>
    <row r="119" spans="1:5" x14ac:dyDescent="0.2">
      <c r="A119" s="8">
        <v>42094</v>
      </c>
      <c r="B119" s="9">
        <v>30.05</v>
      </c>
      <c r="C119" s="10">
        <f t="shared" si="8"/>
        <v>-8.9050131926121222E-3</v>
      </c>
    </row>
    <row r="120" spans="1:5" x14ac:dyDescent="0.2">
      <c r="A120" s="8">
        <v>42062</v>
      </c>
      <c r="B120" s="9">
        <v>30.32</v>
      </c>
      <c r="C120" s="10">
        <f t="shared" si="8"/>
        <v>2.9541595925297148E-2</v>
      </c>
    </row>
    <row r="121" spans="1:5" x14ac:dyDescent="0.2">
      <c r="A121" s="8">
        <v>42034</v>
      </c>
      <c r="B121" s="9">
        <v>29.45</v>
      </c>
      <c r="C121" s="10">
        <f t="shared" si="8"/>
        <v>-7.7493261455525752E-3</v>
      </c>
    </row>
    <row r="122" spans="1:5" x14ac:dyDescent="0.2">
      <c r="A122" s="8">
        <v>42004</v>
      </c>
      <c r="B122" s="9">
        <v>29.68</v>
      </c>
      <c r="C122" s="10">
        <f t="shared" si="8"/>
        <v>-5.3619302949061707E-3</v>
      </c>
      <c r="D122" s="10" cm="1">
        <f t="array" ref="D122">PRODUCT((1+C122:C133)^(12/12))-1</f>
        <v>7.8488372093023395E-2</v>
      </c>
      <c r="E122" s="11">
        <f t="shared" ref="E122" si="13">_xlfn.STDEV.P(C122:C133)</f>
        <v>1.6416774933851044E-2</v>
      </c>
    </row>
    <row r="123" spans="1:5" x14ac:dyDescent="0.2">
      <c r="A123" s="8">
        <v>41971</v>
      </c>
      <c r="B123" s="9">
        <v>29.84</v>
      </c>
      <c r="C123" s="10">
        <f t="shared" si="8"/>
        <v>1.7735334242837637E-2</v>
      </c>
    </row>
    <row r="124" spans="1:5" x14ac:dyDescent="0.2">
      <c r="A124" s="8">
        <v>41943</v>
      </c>
      <c r="B124" s="9">
        <v>29.32</v>
      </c>
      <c r="C124" s="10">
        <f t="shared" si="8"/>
        <v>2.0891364902507013E-2</v>
      </c>
    </row>
    <row r="125" spans="1:5" x14ac:dyDescent="0.2">
      <c r="A125" s="8">
        <v>41912</v>
      </c>
      <c r="B125" s="9">
        <v>28.72</v>
      </c>
      <c r="C125" s="10">
        <f t="shared" si="8"/>
        <v>-2.0129648584100986E-2</v>
      </c>
    </row>
    <row r="126" spans="1:5" x14ac:dyDescent="0.2">
      <c r="A126" s="8">
        <v>41880</v>
      </c>
      <c r="B126" s="9">
        <v>29.31</v>
      </c>
      <c r="C126" s="10">
        <f t="shared" si="8"/>
        <v>2.9504741833508954E-2</v>
      </c>
    </row>
    <row r="127" spans="1:5" x14ac:dyDescent="0.2">
      <c r="A127" s="8">
        <v>41851</v>
      </c>
      <c r="B127" s="9">
        <v>28.47</v>
      </c>
      <c r="C127" s="10">
        <f t="shared" si="8"/>
        <v>-1.2829403606102669E-2</v>
      </c>
    </row>
    <row r="128" spans="1:5" x14ac:dyDescent="0.2">
      <c r="A128" s="8">
        <v>41820</v>
      </c>
      <c r="B128" s="9">
        <v>28.84</v>
      </c>
      <c r="C128" s="10">
        <f t="shared" si="8"/>
        <v>1.1220196353436195E-2</v>
      </c>
    </row>
    <row r="129" spans="1:5" x14ac:dyDescent="0.2">
      <c r="A129" s="8">
        <v>41789</v>
      </c>
      <c r="B129" s="9">
        <v>28.52</v>
      </c>
      <c r="C129" s="10">
        <f t="shared" si="8"/>
        <v>1.7481270067784459E-2</v>
      </c>
    </row>
    <row r="130" spans="1:5" x14ac:dyDescent="0.2">
      <c r="A130" s="8">
        <v>41759</v>
      </c>
      <c r="B130" s="9">
        <v>28.03</v>
      </c>
      <c r="C130" s="10">
        <f t="shared" ref="C130:C193" si="14">(B130-B131)/B131</f>
        <v>3.5803795202291951E-3</v>
      </c>
    </row>
    <row r="131" spans="1:5" x14ac:dyDescent="0.2">
      <c r="A131" s="8">
        <v>41729</v>
      </c>
      <c r="B131" s="9">
        <v>27.93</v>
      </c>
      <c r="C131" s="10">
        <f t="shared" si="14"/>
        <v>-2.50000000000001E-3</v>
      </c>
    </row>
    <row r="132" spans="1:5" x14ac:dyDescent="0.2">
      <c r="A132" s="8">
        <v>41698</v>
      </c>
      <c r="B132" s="24">
        <v>28</v>
      </c>
      <c r="C132" s="10">
        <f t="shared" si="14"/>
        <v>3.0169242089771901E-2</v>
      </c>
    </row>
    <row r="133" spans="1:5" x14ac:dyDescent="0.2">
      <c r="A133" s="8">
        <v>41670</v>
      </c>
      <c r="B133" s="9">
        <v>27.18</v>
      </c>
      <c r="C133" s="10">
        <f t="shared" si="14"/>
        <v>-1.2354651162790692E-2</v>
      </c>
    </row>
    <row r="134" spans="1:5" x14ac:dyDescent="0.2">
      <c r="A134" s="8">
        <v>41639</v>
      </c>
      <c r="B134" s="9">
        <v>27.52</v>
      </c>
      <c r="C134" s="10">
        <f t="shared" si="14"/>
        <v>8.0586080586080161E-3</v>
      </c>
      <c r="D134" s="10" cm="1">
        <f t="array" ref="D134">PRODUCT((1+C134:C145)^(12/12))-1</f>
        <v>0.15824915824915786</v>
      </c>
      <c r="E134" s="11">
        <f t="shared" ref="E134" si="15">_xlfn.STDEV.P(C134:C145)</f>
        <v>1.6352713480765852E-2</v>
      </c>
    </row>
    <row r="135" spans="1:5" x14ac:dyDescent="0.2">
      <c r="A135" s="8">
        <v>41607</v>
      </c>
      <c r="B135" s="9">
        <v>27.3</v>
      </c>
      <c r="C135" s="10">
        <f t="shared" si="14"/>
        <v>1.5625000000000062E-2</v>
      </c>
    </row>
    <row r="136" spans="1:5" x14ac:dyDescent="0.2">
      <c r="A136" s="8">
        <v>41578</v>
      </c>
      <c r="B136" s="9">
        <v>26.88</v>
      </c>
      <c r="C136" s="10">
        <f t="shared" si="14"/>
        <v>2.8702640642939151E-2</v>
      </c>
    </row>
    <row r="137" spans="1:5" x14ac:dyDescent="0.2">
      <c r="A137" s="8">
        <v>41547</v>
      </c>
      <c r="B137" s="9">
        <v>26.13</v>
      </c>
      <c r="C137" s="10">
        <f t="shared" si="14"/>
        <v>2.0703124999999906E-2</v>
      </c>
    </row>
    <row r="138" spans="1:5" x14ac:dyDescent="0.2">
      <c r="A138" s="8">
        <v>41516</v>
      </c>
      <c r="B138" s="9">
        <v>25.6</v>
      </c>
      <c r="C138" s="10">
        <f t="shared" si="14"/>
        <v>-1.9157088122605363E-2</v>
      </c>
    </row>
    <row r="139" spans="1:5" x14ac:dyDescent="0.2">
      <c r="A139" s="8">
        <v>41486</v>
      </c>
      <c r="B139" s="9">
        <v>26.1</v>
      </c>
      <c r="C139" s="10">
        <f t="shared" si="14"/>
        <v>3.3663366336633721E-2</v>
      </c>
    </row>
    <row r="140" spans="1:5" x14ac:dyDescent="0.2">
      <c r="A140" s="8">
        <v>41453</v>
      </c>
      <c r="B140" s="9">
        <v>25.25</v>
      </c>
      <c r="C140" s="10">
        <f t="shared" si="14"/>
        <v>-1.9036519036518977E-2</v>
      </c>
    </row>
    <row r="141" spans="1:5" x14ac:dyDescent="0.2">
      <c r="A141" s="8">
        <v>41425</v>
      </c>
      <c r="B141" s="9">
        <v>25.74</v>
      </c>
      <c r="C141" s="10">
        <f t="shared" si="14"/>
        <v>7.0422535211267494E-3</v>
      </c>
    </row>
    <row r="142" spans="1:5" x14ac:dyDescent="0.2">
      <c r="A142" s="8">
        <v>41394</v>
      </c>
      <c r="B142" s="9">
        <v>25.56</v>
      </c>
      <c r="C142" s="10">
        <f t="shared" si="14"/>
        <v>1.4285714285714263E-2</v>
      </c>
    </row>
    <row r="143" spans="1:5" x14ac:dyDescent="0.2">
      <c r="A143" s="8">
        <v>41361</v>
      </c>
      <c r="B143" s="9">
        <v>25.2</v>
      </c>
      <c r="C143" s="10">
        <f t="shared" si="14"/>
        <v>1.9417475728155359E-2</v>
      </c>
    </row>
    <row r="144" spans="1:5" x14ac:dyDescent="0.2">
      <c r="A144" s="8">
        <v>41333</v>
      </c>
      <c r="B144" s="9">
        <v>24.72</v>
      </c>
      <c r="C144" s="10">
        <f t="shared" si="14"/>
        <v>9.8039215686273867E-3</v>
      </c>
    </row>
    <row r="145" spans="1:5" x14ac:dyDescent="0.2">
      <c r="A145" s="8">
        <v>41305</v>
      </c>
      <c r="B145" s="9">
        <v>24.48</v>
      </c>
      <c r="C145" s="10">
        <f t="shared" si="14"/>
        <v>3.0303030303030252E-2</v>
      </c>
    </row>
    <row r="146" spans="1:5" x14ac:dyDescent="0.2">
      <c r="A146" s="8">
        <v>41274</v>
      </c>
      <c r="B146" s="9">
        <v>23.76</v>
      </c>
      <c r="C146" s="10">
        <f t="shared" si="14"/>
        <v>0</v>
      </c>
      <c r="D146" s="10" cm="1">
        <f t="array" ref="D146">PRODUCT((1+C146:C157)^(12/12))-1</f>
        <v>9.0909090909090606E-2</v>
      </c>
      <c r="E146" s="11">
        <f t="shared" ref="E146" si="16">_xlfn.STDEV.P(C146:C157)</f>
        <v>1.6722186115342173E-2</v>
      </c>
    </row>
    <row r="147" spans="1:5" x14ac:dyDescent="0.2">
      <c r="A147" s="8">
        <v>41243</v>
      </c>
      <c r="B147" s="9">
        <v>23.76</v>
      </c>
      <c r="C147" s="10">
        <f t="shared" si="14"/>
        <v>5.5014811680068791E-3</v>
      </c>
    </row>
    <row r="148" spans="1:5" x14ac:dyDescent="0.2">
      <c r="A148" s="8">
        <v>41213</v>
      </c>
      <c r="B148" s="9">
        <v>23.63</v>
      </c>
      <c r="C148" s="10">
        <f t="shared" si="14"/>
        <v>-1.0054461667364976E-2</v>
      </c>
    </row>
    <row r="149" spans="1:5" x14ac:dyDescent="0.2">
      <c r="A149" s="8">
        <v>41180</v>
      </c>
      <c r="B149" s="9">
        <v>23.87</v>
      </c>
      <c r="C149" s="10">
        <f t="shared" si="14"/>
        <v>1.0584250635055038E-2</v>
      </c>
    </row>
    <row r="150" spans="1:5" x14ac:dyDescent="0.2">
      <c r="A150" s="8">
        <v>41152</v>
      </c>
      <c r="B150" s="9">
        <v>23.62</v>
      </c>
      <c r="C150" s="10">
        <f t="shared" si="14"/>
        <v>1.5477214101461712E-2</v>
      </c>
    </row>
    <row r="151" spans="1:5" x14ac:dyDescent="0.2">
      <c r="A151" s="8">
        <v>41121</v>
      </c>
      <c r="B151" s="9">
        <v>23.26</v>
      </c>
      <c r="C151" s="10">
        <f t="shared" si="14"/>
        <v>1.1744236624619537E-2</v>
      </c>
    </row>
    <row r="152" spans="1:5" x14ac:dyDescent="0.2">
      <c r="A152" s="8">
        <v>41089</v>
      </c>
      <c r="B152" s="9">
        <v>22.99</v>
      </c>
      <c r="C152" s="10">
        <f t="shared" si="14"/>
        <v>1.8157661647475652E-2</v>
      </c>
    </row>
    <row r="153" spans="1:5" x14ac:dyDescent="0.2">
      <c r="A153" s="8">
        <v>41060</v>
      </c>
      <c r="B153" s="9">
        <v>22.58</v>
      </c>
      <c r="C153" s="10">
        <f t="shared" si="14"/>
        <v>-3.3804022250748939E-2</v>
      </c>
    </row>
    <row r="154" spans="1:5" x14ac:dyDescent="0.2">
      <c r="A154" s="8">
        <v>41029</v>
      </c>
      <c r="B154" s="9">
        <v>23.37</v>
      </c>
      <c r="C154" s="10">
        <f t="shared" si="14"/>
        <v>8.5653104925051697E-4</v>
      </c>
    </row>
    <row r="155" spans="1:5" x14ac:dyDescent="0.2">
      <c r="A155" s="8">
        <v>40998</v>
      </c>
      <c r="B155" s="9">
        <v>23.35</v>
      </c>
      <c r="C155" s="10">
        <f t="shared" si="14"/>
        <v>1.1260285838025188E-2</v>
      </c>
    </row>
    <row r="156" spans="1:5" x14ac:dyDescent="0.2">
      <c r="A156" s="8">
        <v>40968</v>
      </c>
      <c r="B156" s="9">
        <v>23.09</v>
      </c>
      <c r="C156" s="10">
        <f t="shared" si="14"/>
        <v>2.5310834813499127E-2</v>
      </c>
    </row>
    <row r="157" spans="1:5" x14ac:dyDescent="0.2">
      <c r="A157" s="8">
        <v>40939</v>
      </c>
      <c r="B157" s="9">
        <v>22.52</v>
      </c>
      <c r="C157" s="10">
        <f t="shared" si="14"/>
        <v>3.3976124885215724E-2</v>
      </c>
    </row>
    <row r="158" spans="1:5" x14ac:dyDescent="0.2">
      <c r="A158" s="8">
        <v>40907</v>
      </c>
      <c r="B158" s="9">
        <v>21.78</v>
      </c>
      <c r="C158" s="10">
        <f t="shared" si="14"/>
        <v>3.2243205895900635E-3</v>
      </c>
      <c r="D158" s="10" cm="1">
        <f t="array" ref="D158">PRODUCT((1+C158:C169)^(12/12))-1</f>
        <v>1.8709073900841977E-2</v>
      </c>
      <c r="E158" s="11">
        <f t="shared" ref="E158" si="17">_xlfn.STDEV.P(C158:C169)</f>
        <v>2.8450789353813399E-2</v>
      </c>
    </row>
    <row r="159" spans="1:5" x14ac:dyDescent="0.2">
      <c r="A159" s="8">
        <v>40877</v>
      </c>
      <c r="B159" s="9">
        <v>21.71</v>
      </c>
      <c r="C159" s="10">
        <f t="shared" si="14"/>
        <v>-2.7560863573724724E-3</v>
      </c>
    </row>
    <row r="160" spans="1:5" x14ac:dyDescent="0.2">
      <c r="A160" s="8">
        <v>40847</v>
      </c>
      <c r="B160" s="9">
        <v>21.77</v>
      </c>
      <c r="C160" s="10">
        <f t="shared" si="14"/>
        <v>6.9778869778869684E-2</v>
      </c>
    </row>
    <row r="161" spans="1:5" x14ac:dyDescent="0.2">
      <c r="A161" s="8">
        <v>40816</v>
      </c>
      <c r="B161" s="9">
        <v>20.350000000000001</v>
      </c>
      <c r="C161" s="10">
        <f t="shared" si="14"/>
        <v>-4.9953314659197022E-2</v>
      </c>
    </row>
    <row r="162" spans="1:5" x14ac:dyDescent="0.2">
      <c r="A162" s="8">
        <v>40786</v>
      </c>
      <c r="B162" s="9">
        <v>21.42</v>
      </c>
      <c r="C162" s="10">
        <f t="shared" si="14"/>
        <v>-2.7689514298683587E-2</v>
      </c>
    </row>
    <row r="163" spans="1:5" x14ac:dyDescent="0.2">
      <c r="A163" s="8">
        <v>40753</v>
      </c>
      <c r="B163" s="9">
        <v>22.03</v>
      </c>
      <c r="C163" s="10">
        <f t="shared" si="14"/>
        <v>-7.2104551599819801E-3</v>
      </c>
    </row>
    <row r="164" spans="1:5" x14ac:dyDescent="0.2">
      <c r="A164" s="8">
        <v>40724</v>
      </c>
      <c r="B164" s="9">
        <v>22.19</v>
      </c>
      <c r="C164" s="10">
        <f t="shared" si="14"/>
        <v>-1.7271922054915723E-2</v>
      </c>
    </row>
    <row r="165" spans="1:5" x14ac:dyDescent="0.2">
      <c r="A165" s="8">
        <v>40694</v>
      </c>
      <c r="B165" s="9">
        <v>22.58</v>
      </c>
      <c r="C165" s="10">
        <f t="shared" si="14"/>
        <v>-1.7683465959329222E-3</v>
      </c>
    </row>
    <row r="166" spans="1:5" x14ac:dyDescent="0.2">
      <c r="A166" s="8">
        <v>40662</v>
      </c>
      <c r="B166" s="9">
        <v>22.62</v>
      </c>
      <c r="C166" s="10">
        <f t="shared" si="14"/>
        <v>2.3529411764705861E-2</v>
      </c>
    </row>
    <row r="167" spans="1:5" x14ac:dyDescent="0.2">
      <c r="A167" s="8">
        <v>40633</v>
      </c>
      <c r="B167" s="9">
        <v>22.1</v>
      </c>
      <c r="C167" s="10">
        <f t="shared" si="14"/>
        <v>-2.7075812274367653E-3</v>
      </c>
    </row>
    <row r="168" spans="1:5" x14ac:dyDescent="0.2">
      <c r="A168" s="8">
        <v>40602</v>
      </c>
      <c r="B168" s="9">
        <v>22.16</v>
      </c>
      <c r="C168" s="10">
        <f t="shared" si="14"/>
        <v>2.2611905860636751E-2</v>
      </c>
    </row>
    <row r="169" spans="1:5" x14ac:dyDescent="0.2">
      <c r="A169" s="8">
        <v>40574</v>
      </c>
      <c r="B169" s="9">
        <v>21.67</v>
      </c>
      <c r="C169" s="10">
        <f t="shared" si="14"/>
        <v>1.3564078578110511E-2</v>
      </c>
    </row>
    <row r="170" spans="1:5" x14ac:dyDescent="0.2">
      <c r="A170" s="8">
        <v>40543</v>
      </c>
      <c r="B170" s="9">
        <v>21.38</v>
      </c>
      <c r="C170" s="10">
        <f t="shared" si="14"/>
        <v>3.0361445783132483E-2</v>
      </c>
      <c r="D170" s="10" cm="1">
        <f t="array" ref="D170">PRODUCT((1+C170:C181)^(12/12))-1</f>
        <v>0.10490956072351398</v>
      </c>
      <c r="E170" s="11">
        <f t="shared" ref="E170" si="18">_xlfn.STDEV.P(C170:C181)</f>
        <v>2.972407225363979E-2</v>
      </c>
    </row>
    <row r="171" spans="1:5" x14ac:dyDescent="0.2">
      <c r="A171" s="8">
        <v>40512</v>
      </c>
      <c r="B171" s="9">
        <v>20.75</v>
      </c>
      <c r="C171" s="10">
        <f t="shared" si="14"/>
        <v>1.4478764478765029E-3</v>
      </c>
    </row>
    <row r="172" spans="1:5" x14ac:dyDescent="0.2">
      <c r="A172" s="8">
        <v>40480</v>
      </c>
      <c r="B172" s="9">
        <v>20.72</v>
      </c>
      <c r="C172" s="10">
        <f t="shared" si="14"/>
        <v>2.5235032162295792E-2</v>
      </c>
    </row>
    <row r="173" spans="1:5" x14ac:dyDescent="0.2">
      <c r="A173" s="8">
        <v>40451</v>
      </c>
      <c r="B173" s="9">
        <v>20.21</v>
      </c>
      <c r="C173" s="10">
        <f t="shared" si="14"/>
        <v>4.8780487804878113E-2</v>
      </c>
    </row>
    <row r="174" spans="1:5" x14ac:dyDescent="0.2">
      <c r="A174" s="8">
        <v>40421</v>
      </c>
      <c r="B174" s="9">
        <v>19.27</v>
      </c>
      <c r="C174" s="10">
        <f t="shared" si="14"/>
        <v>-2.2819472616632825E-2</v>
      </c>
    </row>
    <row r="175" spans="1:5" x14ac:dyDescent="0.2">
      <c r="A175" s="8">
        <v>40389</v>
      </c>
      <c r="B175" s="9">
        <v>19.72</v>
      </c>
      <c r="C175" s="10">
        <f t="shared" si="14"/>
        <v>4.5045045045044932E-2</v>
      </c>
    </row>
    <row r="176" spans="1:5" x14ac:dyDescent="0.2">
      <c r="A176" s="8">
        <v>40359</v>
      </c>
      <c r="B176" s="9">
        <v>18.87</v>
      </c>
      <c r="C176" s="10">
        <f t="shared" si="14"/>
        <v>-3.3299180327868778E-2</v>
      </c>
    </row>
    <row r="177" spans="1:5" x14ac:dyDescent="0.2">
      <c r="A177" s="8">
        <v>40326</v>
      </c>
      <c r="B177" s="9">
        <v>19.52</v>
      </c>
      <c r="C177" s="10">
        <f t="shared" si="14"/>
        <v>-4.4542339696524727E-2</v>
      </c>
    </row>
    <row r="178" spans="1:5" x14ac:dyDescent="0.2">
      <c r="A178" s="8">
        <v>40298</v>
      </c>
      <c r="B178" s="9">
        <v>20.43</v>
      </c>
      <c r="C178" s="10">
        <f t="shared" si="14"/>
        <v>1.7430278884462223E-2</v>
      </c>
    </row>
    <row r="179" spans="1:5" x14ac:dyDescent="0.2">
      <c r="A179" s="8">
        <v>40268</v>
      </c>
      <c r="B179" s="9">
        <v>20.079999999999998</v>
      </c>
      <c r="C179" s="10">
        <f t="shared" si="14"/>
        <v>3.1860226104830289E-2</v>
      </c>
    </row>
    <row r="180" spans="1:5" x14ac:dyDescent="0.2">
      <c r="A180" s="8">
        <v>40235</v>
      </c>
      <c r="B180" s="9">
        <v>19.46</v>
      </c>
      <c r="C180" s="10">
        <f t="shared" si="14"/>
        <v>2.0450970110120637E-2</v>
      </c>
    </row>
    <row r="181" spans="1:5" x14ac:dyDescent="0.2">
      <c r="A181" s="8">
        <v>40207</v>
      </c>
      <c r="B181" s="9">
        <v>19.07</v>
      </c>
      <c r="C181" s="10">
        <f t="shared" si="14"/>
        <v>-1.4470284237726156E-2</v>
      </c>
    </row>
    <row r="182" spans="1:5" x14ac:dyDescent="0.2">
      <c r="A182" s="8">
        <v>40178</v>
      </c>
      <c r="B182" s="9">
        <v>19.350000000000001</v>
      </c>
      <c r="C182" s="10">
        <f t="shared" si="14"/>
        <v>2.5906735751295702E-3</v>
      </c>
      <c r="D182" s="10" cm="1">
        <f t="array" ref="D182">PRODUCT((1+C182:C193)^(12/12))-1</f>
        <v>0.16566194839641679</v>
      </c>
      <c r="E182" s="11">
        <f t="shared" ref="E182" si="19">_xlfn.STDEV.P(C182:C193)</f>
        <v>3.9282449301095715E-2</v>
      </c>
    </row>
    <row r="183" spans="1:5" x14ac:dyDescent="0.2">
      <c r="A183" s="8">
        <v>40147</v>
      </c>
      <c r="B183" s="9">
        <v>19.3</v>
      </c>
      <c r="C183" s="10">
        <f t="shared" si="14"/>
        <v>3.8751345532831133E-2</v>
      </c>
    </row>
    <row r="184" spans="1:5" x14ac:dyDescent="0.2">
      <c r="A184" s="8">
        <v>40116</v>
      </c>
      <c r="B184" s="9">
        <v>18.579999999999998</v>
      </c>
      <c r="C184" s="10">
        <f t="shared" si="14"/>
        <v>-1.3276686139139671E-2</v>
      </c>
    </row>
    <row r="185" spans="1:5" x14ac:dyDescent="0.2">
      <c r="A185" s="8">
        <v>40086</v>
      </c>
      <c r="B185" s="9">
        <v>18.829999999999998</v>
      </c>
      <c r="C185" s="10">
        <f t="shared" si="14"/>
        <v>2.3369565217391291E-2</v>
      </c>
    </row>
    <row r="186" spans="1:5" x14ac:dyDescent="0.2">
      <c r="A186" s="8">
        <v>40056</v>
      </c>
      <c r="B186" s="9">
        <v>18.399999999999999</v>
      </c>
      <c r="C186" s="10">
        <f t="shared" si="14"/>
        <v>2.6213050752927989E-2</v>
      </c>
    </row>
    <row r="187" spans="1:5" x14ac:dyDescent="0.2">
      <c r="A187" s="8">
        <v>40025</v>
      </c>
      <c r="B187" s="9">
        <v>17.93</v>
      </c>
      <c r="C187" s="10">
        <f t="shared" si="14"/>
        <v>5.2847915443335204E-2</v>
      </c>
    </row>
    <row r="188" spans="1:5" x14ac:dyDescent="0.2">
      <c r="A188" s="8">
        <v>39994</v>
      </c>
      <c r="B188" s="9">
        <v>17.03</v>
      </c>
      <c r="C188" s="10">
        <f t="shared" si="14"/>
        <v>-1.7584994138333872E-3</v>
      </c>
    </row>
    <row r="189" spans="1:5" x14ac:dyDescent="0.2">
      <c r="A189" s="8">
        <v>39962</v>
      </c>
      <c r="B189" s="9">
        <v>17.059999999999999</v>
      </c>
      <c r="C189" s="10">
        <f t="shared" si="14"/>
        <v>3.582270795385549E-2</v>
      </c>
    </row>
    <row r="190" spans="1:5" x14ac:dyDescent="0.2">
      <c r="A190" s="8">
        <v>39933</v>
      </c>
      <c r="B190" s="9">
        <v>16.47</v>
      </c>
      <c r="C190" s="10">
        <f t="shared" si="14"/>
        <v>6.3953488372092915E-2</v>
      </c>
    </row>
    <row r="191" spans="1:5" x14ac:dyDescent="0.2">
      <c r="A191" s="8">
        <v>39903</v>
      </c>
      <c r="B191" s="9">
        <v>15.48</v>
      </c>
      <c r="C191" s="10">
        <f t="shared" si="14"/>
        <v>5.2202283849918478E-2</v>
      </c>
    </row>
    <row r="192" spans="1:5" x14ac:dyDescent="0.2">
      <c r="A192" s="8">
        <v>39871</v>
      </c>
      <c r="B192" s="9">
        <v>14.712</v>
      </c>
      <c r="C192" s="10">
        <f t="shared" si="14"/>
        <v>-6.4717101080737485E-2</v>
      </c>
    </row>
    <row r="193" spans="1:5" x14ac:dyDescent="0.2">
      <c r="A193" s="8">
        <v>39843</v>
      </c>
      <c r="B193" s="9">
        <v>15.73</v>
      </c>
      <c r="C193" s="10">
        <f t="shared" si="14"/>
        <v>-5.2410209391440157E-2</v>
      </c>
    </row>
    <row r="194" spans="1:5" x14ac:dyDescent="0.2">
      <c r="A194" s="8">
        <v>39813</v>
      </c>
      <c r="B194" s="9">
        <v>16.600010000000001</v>
      </c>
      <c r="C194" s="10">
        <f t="shared" ref="C194:C257" si="20">(B194-B195)/B195</f>
        <v>1.4670537897310612E-2</v>
      </c>
      <c r="D194" s="10" cm="1">
        <f t="array" ref="D194">PRODUCT((1+C194:C205)^(12/12))-1</f>
        <v>-0.24613941871026312</v>
      </c>
      <c r="E194" s="11">
        <f t="shared" ref="E194" si="21">_xlfn.STDEV.P(C194:C205)</f>
        <v>3.9692084148612417E-2</v>
      </c>
    </row>
    <row r="195" spans="1:5" x14ac:dyDescent="0.2">
      <c r="A195" s="8">
        <v>39780</v>
      </c>
      <c r="B195" s="9">
        <v>16.36</v>
      </c>
      <c r="C195" s="10">
        <f t="shared" si="20"/>
        <v>-3.4238488783943435E-2</v>
      </c>
    </row>
    <row r="196" spans="1:5" x14ac:dyDescent="0.2">
      <c r="A196" s="8">
        <v>39752</v>
      </c>
      <c r="B196" s="9">
        <v>16.940000000000001</v>
      </c>
      <c r="C196" s="10">
        <f t="shared" si="20"/>
        <v>-0.11586638830897697</v>
      </c>
    </row>
    <row r="197" spans="1:5" x14ac:dyDescent="0.2">
      <c r="A197" s="8">
        <v>39721</v>
      </c>
      <c r="B197" s="9">
        <v>19.16</v>
      </c>
      <c r="C197" s="10">
        <f t="shared" si="20"/>
        <v>-6.6731612274719965E-2</v>
      </c>
    </row>
    <row r="198" spans="1:5" x14ac:dyDescent="0.2">
      <c r="A198" s="8">
        <v>39689</v>
      </c>
      <c r="B198" s="9">
        <v>20.53</v>
      </c>
      <c r="C198" s="10">
        <f t="shared" si="20"/>
        <v>1.2327416173570018E-2</v>
      </c>
    </row>
    <row r="199" spans="1:5" x14ac:dyDescent="0.2">
      <c r="A199" s="8">
        <v>39660</v>
      </c>
      <c r="B199" s="9">
        <v>20.28</v>
      </c>
      <c r="C199" s="10">
        <f t="shared" si="20"/>
        <v>-4.4182621502209061E-3</v>
      </c>
    </row>
    <row r="200" spans="1:5" x14ac:dyDescent="0.2">
      <c r="A200" s="8">
        <v>39629</v>
      </c>
      <c r="B200" s="9">
        <v>20.37</v>
      </c>
      <c r="C200" s="10">
        <f t="shared" si="20"/>
        <v>-5.7816836262719704E-2</v>
      </c>
    </row>
    <row r="201" spans="1:5" x14ac:dyDescent="0.2">
      <c r="A201" s="8">
        <v>39598</v>
      </c>
      <c r="B201" s="9">
        <v>21.62</v>
      </c>
      <c r="C201" s="10">
        <f t="shared" si="20"/>
        <v>9.8085007006072332E-3</v>
      </c>
    </row>
    <row r="202" spans="1:5" x14ac:dyDescent="0.2">
      <c r="A202" s="8">
        <v>39568</v>
      </c>
      <c r="B202" s="9">
        <v>21.41</v>
      </c>
      <c r="C202" s="10">
        <f t="shared" si="20"/>
        <v>2.8832292167227366E-2</v>
      </c>
    </row>
    <row r="203" spans="1:5" x14ac:dyDescent="0.2">
      <c r="A203" s="8">
        <v>39538</v>
      </c>
      <c r="B203" s="9">
        <v>20.81</v>
      </c>
      <c r="C203" s="10">
        <f t="shared" si="20"/>
        <v>-9.0476190476191081E-3</v>
      </c>
    </row>
    <row r="204" spans="1:5" x14ac:dyDescent="0.2">
      <c r="A204" s="8">
        <v>39507</v>
      </c>
      <c r="B204" s="24">
        <v>21</v>
      </c>
      <c r="C204" s="10">
        <f t="shared" si="20"/>
        <v>-1.7773620205799767E-2</v>
      </c>
    </row>
    <row r="205" spans="1:5" x14ac:dyDescent="0.2">
      <c r="A205" s="8">
        <v>39478</v>
      </c>
      <c r="B205" s="9">
        <v>21.38</v>
      </c>
      <c r="C205" s="10">
        <f t="shared" si="20"/>
        <v>-2.9064486830154432E-2</v>
      </c>
    </row>
    <row r="206" spans="1:5" x14ac:dyDescent="0.2">
      <c r="A206" s="8">
        <v>39447</v>
      </c>
      <c r="B206" s="9">
        <v>22.02</v>
      </c>
      <c r="C206" s="10">
        <f t="shared" si="20"/>
        <v>-1.1669658886894144E-2</v>
      </c>
      <c r="D206" s="10" cm="1">
        <f t="array" ref="D206">PRODUCT((1+C206:C217)^(12/12))-1</f>
        <v>3.0898876404494402E-2</v>
      </c>
      <c r="E206" s="11">
        <f t="shared" ref="E206" si="22">_xlfn.STDEV.P(C206:C217)</f>
        <v>1.5620851966580113E-2</v>
      </c>
    </row>
    <row r="207" spans="1:5" x14ac:dyDescent="0.2">
      <c r="A207" s="8">
        <v>39416</v>
      </c>
      <c r="B207" s="9">
        <v>22.28</v>
      </c>
      <c r="C207" s="10">
        <f t="shared" si="20"/>
        <v>-1.9366197183098493E-2</v>
      </c>
    </row>
    <row r="208" spans="1:5" x14ac:dyDescent="0.2">
      <c r="A208" s="8">
        <v>39386</v>
      </c>
      <c r="B208" s="9">
        <v>22.72</v>
      </c>
      <c r="C208" s="10">
        <f t="shared" si="20"/>
        <v>1.4738722644037441E-2</v>
      </c>
    </row>
    <row r="209" spans="1:5" x14ac:dyDescent="0.2">
      <c r="A209" s="8">
        <v>39353</v>
      </c>
      <c r="B209" s="9">
        <v>22.39</v>
      </c>
      <c r="C209" s="10">
        <f t="shared" si="20"/>
        <v>1.6802906448683062E-2</v>
      </c>
    </row>
    <row r="210" spans="1:5" x14ac:dyDescent="0.2">
      <c r="A210" s="8">
        <v>39325</v>
      </c>
      <c r="B210" s="9">
        <v>22.02</v>
      </c>
      <c r="C210" s="10">
        <f t="shared" si="20"/>
        <v>1.3812154696132631E-2</v>
      </c>
    </row>
    <row r="211" spans="1:5" x14ac:dyDescent="0.2">
      <c r="A211" s="8">
        <v>39294</v>
      </c>
      <c r="B211" s="9">
        <v>21.72</v>
      </c>
      <c r="C211" s="10">
        <f t="shared" si="20"/>
        <v>-1.6749660479855183E-2</v>
      </c>
    </row>
    <row r="212" spans="1:5" x14ac:dyDescent="0.2">
      <c r="A212" s="8">
        <v>39262</v>
      </c>
      <c r="B212" s="9">
        <v>22.09</v>
      </c>
      <c r="C212" s="10">
        <f t="shared" si="20"/>
        <v>-1.8657938097706776E-2</v>
      </c>
    </row>
    <row r="213" spans="1:5" x14ac:dyDescent="0.2">
      <c r="A213" s="8">
        <v>39233</v>
      </c>
      <c r="B213" s="9">
        <v>22.509989999999998</v>
      </c>
      <c r="C213" s="10">
        <f t="shared" si="20"/>
        <v>1.9474184782608702E-2</v>
      </c>
    </row>
    <row r="214" spans="1:5" x14ac:dyDescent="0.2">
      <c r="A214" s="8">
        <v>39202</v>
      </c>
      <c r="B214" s="9">
        <v>22.08</v>
      </c>
      <c r="C214" s="10">
        <f t="shared" si="20"/>
        <v>2.6022304832713696E-2</v>
      </c>
    </row>
    <row r="215" spans="1:5" x14ac:dyDescent="0.2">
      <c r="A215" s="8">
        <v>39171</v>
      </c>
      <c r="B215" s="9">
        <v>21.52</v>
      </c>
      <c r="C215" s="10">
        <f t="shared" si="20"/>
        <v>0</v>
      </c>
    </row>
    <row r="216" spans="1:5" x14ac:dyDescent="0.2">
      <c r="A216" s="8">
        <v>39141</v>
      </c>
      <c r="B216" s="9">
        <v>21.52</v>
      </c>
      <c r="C216" s="10">
        <f t="shared" si="20"/>
        <v>-3.2422417786012177E-3</v>
      </c>
    </row>
    <row r="217" spans="1:5" x14ac:dyDescent="0.2">
      <c r="A217" s="8">
        <v>39113</v>
      </c>
      <c r="B217" s="9">
        <v>21.59</v>
      </c>
      <c r="C217" s="10">
        <f t="shared" si="20"/>
        <v>1.0767790262172306E-2</v>
      </c>
    </row>
    <row r="218" spans="1:5" x14ac:dyDescent="0.2">
      <c r="A218" s="8">
        <v>39080</v>
      </c>
      <c r="B218" s="9">
        <v>21.36</v>
      </c>
      <c r="C218" s="10">
        <f t="shared" si="20"/>
        <v>-3.7313432835821753E-3</v>
      </c>
      <c r="D218" s="10" cm="1">
        <f t="array" ref="D218">PRODUCT((1+C218:C229)^(12/12))-1</f>
        <v>7.7698749899722808E-2</v>
      </c>
      <c r="E218" s="11">
        <f t="shared" ref="E218" si="23">_xlfn.STDEV.P(C218:C229)</f>
        <v>1.2344647461027926E-2</v>
      </c>
    </row>
    <row r="219" spans="1:5" x14ac:dyDescent="0.2">
      <c r="A219" s="8">
        <v>39051</v>
      </c>
      <c r="B219" s="9">
        <v>21.44</v>
      </c>
      <c r="C219" s="10">
        <f t="shared" si="20"/>
        <v>1.8043684710351501E-2</v>
      </c>
    </row>
    <row r="220" spans="1:5" x14ac:dyDescent="0.2">
      <c r="A220" s="8">
        <v>39021</v>
      </c>
      <c r="B220" s="9">
        <v>21.06</v>
      </c>
      <c r="C220" s="10">
        <f t="shared" si="20"/>
        <v>2.4319066147859923E-2</v>
      </c>
    </row>
    <row r="221" spans="1:5" x14ac:dyDescent="0.2">
      <c r="A221" s="8">
        <v>38989</v>
      </c>
      <c r="B221" s="9">
        <v>20.56</v>
      </c>
      <c r="C221" s="10">
        <f t="shared" si="20"/>
        <v>9.3274423171329258E-3</v>
      </c>
    </row>
    <row r="222" spans="1:5" x14ac:dyDescent="0.2">
      <c r="A222" s="8">
        <v>38960</v>
      </c>
      <c r="B222" s="9">
        <v>20.37</v>
      </c>
      <c r="C222" s="10">
        <f t="shared" si="20"/>
        <v>2.0030045067601511E-2</v>
      </c>
    </row>
    <row r="223" spans="1:5" x14ac:dyDescent="0.2">
      <c r="A223" s="8">
        <v>38929</v>
      </c>
      <c r="B223" s="9">
        <v>19.97</v>
      </c>
      <c r="C223" s="10">
        <f t="shared" si="20"/>
        <v>4.5271629778671964E-3</v>
      </c>
    </row>
    <row r="224" spans="1:5" x14ac:dyDescent="0.2">
      <c r="A224" s="8">
        <v>38898</v>
      </c>
      <c r="B224" s="9">
        <v>19.88</v>
      </c>
      <c r="C224" s="10">
        <f t="shared" si="20"/>
        <v>-5.0050050050050761E-3</v>
      </c>
    </row>
    <row r="225" spans="1:5" x14ac:dyDescent="0.2">
      <c r="A225" s="8">
        <v>38868</v>
      </c>
      <c r="B225" s="9">
        <v>19.98</v>
      </c>
      <c r="C225" s="10">
        <f t="shared" si="20"/>
        <v>-1.9627085377821325E-2</v>
      </c>
    </row>
    <row r="226" spans="1:5" x14ac:dyDescent="0.2">
      <c r="A226" s="8">
        <v>38835</v>
      </c>
      <c r="B226" s="9">
        <v>20.38</v>
      </c>
      <c r="C226" s="10">
        <f t="shared" si="20"/>
        <v>5.4267390231869479E-3</v>
      </c>
    </row>
    <row r="227" spans="1:5" x14ac:dyDescent="0.2">
      <c r="A227" s="8">
        <v>38807</v>
      </c>
      <c r="B227" s="9">
        <v>20.27</v>
      </c>
      <c r="C227" s="10">
        <f t="shared" si="20"/>
        <v>4.9407724288122478E-4</v>
      </c>
    </row>
    <row r="228" spans="1:5" x14ac:dyDescent="0.2">
      <c r="A228" s="8">
        <v>38776</v>
      </c>
      <c r="B228" s="9">
        <v>20.259989999999998</v>
      </c>
      <c r="C228" s="10">
        <f t="shared" si="20"/>
        <v>1.4824518042510116E-3</v>
      </c>
    </row>
    <row r="229" spans="1:5" x14ac:dyDescent="0.2">
      <c r="A229" s="8">
        <v>38748</v>
      </c>
      <c r="B229" s="9">
        <v>20.23</v>
      </c>
      <c r="C229" s="10">
        <f t="shared" si="20"/>
        <v>2.0685660602593064E-2</v>
      </c>
    </row>
    <row r="230" spans="1:5" x14ac:dyDescent="0.2">
      <c r="A230" s="8">
        <v>38716</v>
      </c>
      <c r="B230" s="9">
        <v>19.82001</v>
      </c>
      <c r="C230" s="10">
        <f t="shared" si="20"/>
        <v>-3.518853695324317E-3</v>
      </c>
      <c r="D230" s="10" cm="1">
        <f t="array" ref="D230">PRODUCT((1+C230:C241)^(12/12))-1</f>
        <v>1.902365038560383E-2</v>
      </c>
      <c r="E230" s="11">
        <f t="shared" ref="E230" si="24">_xlfn.STDEV.P(C230:C241)</f>
        <v>1.5325122184099845E-2</v>
      </c>
    </row>
    <row r="231" spans="1:5" x14ac:dyDescent="0.2">
      <c r="A231" s="8">
        <v>38686</v>
      </c>
      <c r="B231" s="9">
        <v>19.89</v>
      </c>
      <c r="C231" s="10">
        <f t="shared" si="20"/>
        <v>2.5786487880350695E-2</v>
      </c>
    </row>
    <row r="232" spans="1:5" x14ac:dyDescent="0.2">
      <c r="A232" s="8">
        <v>38656</v>
      </c>
      <c r="B232" s="9">
        <v>19.39</v>
      </c>
      <c r="C232" s="10">
        <f t="shared" si="20"/>
        <v>-1.4234875444839914E-2</v>
      </c>
    </row>
    <row r="233" spans="1:5" x14ac:dyDescent="0.2">
      <c r="A233" s="8">
        <v>38625</v>
      </c>
      <c r="B233" s="9">
        <v>19.670000000000002</v>
      </c>
      <c r="C233" s="10">
        <f t="shared" si="20"/>
        <v>-6.5656565656565151E-3</v>
      </c>
    </row>
    <row r="234" spans="1:5" x14ac:dyDescent="0.2">
      <c r="A234" s="8">
        <v>38595</v>
      </c>
      <c r="B234" s="9">
        <v>19.8</v>
      </c>
      <c r="C234" s="10">
        <f t="shared" si="20"/>
        <v>-5.0479555779899096E-4</v>
      </c>
    </row>
    <row r="235" spans="1:5" x14ac:dyDescent="0.2">
      <c r="A235" s="8">
        <v>38562</v>
      </c>
      <c r="B235" s="9">
        <v>19.809999999999999</v>
      </c>
      <c r="C235" s="10">
        <f t="shared" si="20"/>
        <v>2.1134546976570596E-2</v>
      </c>
    </row>
    <row r="236" spans="1:5" x14ac:dyDescent="0.2">
      <c r="A236" s="8">
        <v>38533</v>
      </c>
      <c r="B236" s="9">
        <v>19.399989999999999</v>
      </c>
      <c r="C236" s="10">
        <f t="shared" si="20"/>
        <v>5.1521402784932382E-4</v>
      </c>
    </row>
    <row r="237" spans="1:5" x14ac:dyDescent="0.2">
      <c r="A237" s="8">
        <v>38503</v>
      </c>
      <c r="B237" s="9">
        <v>19.39</v>
      </c>
      <c r="C237" s="10">
        <f t="shared" si="20"/>
        <v>2.8101802757158068E-2</v>
      </c>
    </row>
    <row r="238" spans="1:5" x14ac:dyDescent="0.2">
      <c r="A238" s="8">
        <v>38471</v>
      </c>
      <c r="B238" s="9">
        <v>18.86</v>
      </c>
      <c r="C238" s="10">
        <f t="shared" si="20"/>
        <v>-8.4121976866456446E-3</v>
      </c>
    </row>
    <row r="239" spans="1:5" x14ac:dyDescent="0.2">
      <c r="A239" s="8">
        <v>38442</v>
      </c>
      <c r="B239" s="9">
        <v>19.02</v>
      </c>
      <c r="C239" s="10">
        <f t="shared" si="20"/>
        <v>-1.8575851393188826E-2</v>
      </c>
    </row>
    <row r="240" spans="1:5" x14ac:dyDescent="0.2">
      <c r="A240" s="8">
        <v>38411</v>
      </c>
      <c r="B240" s="9">
        <v>19.38</v>
      </c>
      <c r="C240" s="10">
        <f t="shared" si="20"/>
        <v>9.9009900990097814E-3</v>
      </c>
    </row>
    <row r="241" spans="1:5" x14ac:dyDescent="0.2">
      <c r="A241" s="8">
        <v>38383</v>
      </c>
      <c r="B241" s="9">
        <v>19.190000000000001</v>
      </c>
      <c r="C241" s="10">
        <f t="shared" si="20"/>
        <v>-1.3367609254498612E-2</v>
      </c>
    </row>
    <row r="242" spans="1:5" x14ac:dyDescent="0.2">
      <c r="A242" s="8">
        <v>38352</v>
      </c>
      <c r="B242" s="9">
        <v>19.45</v>
      </c>
      <c r="C242" s="10">
        <f t="shared" si="20"/>
        <v>1.6196447230929924E-2</v>
      </c>
      <c r="D242" s="10" cm="1">
        <f t="array" ref="D242">PRODUCT((1+C242:C253)^(12/12))-1</f>
        <v>6.4004376367614801E-2</v>
      </c>
      <c r="E242" s="11">
        <f t="shared" ref="E242" si="25">_xlfn.STDEV.P(C242:C253)</f>
        <v>1.4126159774520223E-2</v>
      </c>
    </row>
    <row r="243" spans="1:5" x14ac:dyDescent="0.2">
      <c r="A243" s="8">
        <v>38321</v>
      </c>
      <c r="B243" s="9">
        <v>19.14</v>
      </c>
      <c r="C243" s="10">
        <f t="shared" si="20"/>
        <v>2.5174076057846748E-2</v>
      </c>
    </row>
    <row r="244" spans="1:5" x14ac:dyDescent="0.2">
      <c r="A244" s="8">
        <v>38289</v>
      </c>
      <c r="B244" s="9">
        <v>18.670000000000002</v>
      </c>
      <c r="C244" s="10">
        <f t="shared" si="20"/>
        <v>1.3572204125950053E-2</v>
      </c>
    </row>
    <row r="245" spans="1:5" x14ac:dyDescent="0.2">
      <c r="A245" s="8">
        <v>38260</v>
      </c>
      <c r="B245" s="9">
        <v>18.420000000000002</v>
      </c>
      <c r="C245" s="10">
        <f t="shared" si="20"/>
        <v>4.9099836333880752E-3</v>
      </c>
    </row>
    <row r="246" spans="1:5" x14ac:dyDescent="0.2">
      <c r="A246" s="8">
        <v>38230</v>
      </c>
      <c r="B246" s="9">
        <v>18.329999999999998</v>
      </c>
      <c r="C246" s="10">
        <f t="shared" si="20"/>
        <v>9.9179118005023343E-3</v>
      </c>
    </row>
    <row r="247" spans="1:5" x14ac:dyDescent="0.2">
      <c r="A247" s="8">
        <v>38198</v>
      </c>
      <c r="B247" s="9">
        <v>18.149989999999999</v>
      </c>
      <c r="C247" s="10">
        <f t="shared" si="20"/>
        <v>-1.8919459459459515E-2</v>
      </c>
    </row>
    <row r="248" spans="1:5" x14ac:dyDescent="0.2">
      <c r="A248" s="8">
        <v>38168</v>
      </c>
      <c r="B248" s="9">
        <v>18.5</v>
      </c>
      <c r="C248" s="10">
        <f t="shared" si="20"/>
        <v>8.7241003271537696E-3</v>
      </c>
    </row>
    <row r="249" spans="1:5" x14ac:dyDescent="0.2">
      <c r="A249" s="8">
        <v>38138</v>
      </c>
      <c r="B249" s="9">
        <v>18.34</v>
      </c>
      <c r="C249" s="10">
        <f t="shared" si="20"/>
        <v>6.5861690450055438E-3</v>
      </c>
    </row>
    <row r="250" spans="1:5" x14ac:dyDescent="0.2">
      <c r="A250" s="8">
        <v>38107</v>
      </c>
      <c r="B250" s="9">
        <v>18.22</v>
      </c>
      <c r="C250" s="10">
        <f t="shared" si="20"/>
        <v>-2.3055776437413647E-2</v>
      </c>
    </row>
    <row r="251" spans="1:5" x14ac:dyDescent="0.2">
      <c r="A251" s="8">
        <v>38077</v>
      </c>
      <c r="B251" s="9">
        <v>18.649989999999999</v>
      </c>
      <c r="C251" s="10">
        <f t="shared" si="20"/>
        <v>-9.0340015759822097E-3</v>
      </c>
    </row>
    <row r="252" spans="1:5" x14ac:dyDescent="0.2">
      <c r="A252" s="8">
        <v>38044</v>
      </c>
      <c r="B252" s="9">
        <v>18.82001</v>
      </c>
      <c r="C252" s="10">
        <f t="shared" si="20"/>
        <v>1.2917653390742821E-2</v>
      </c>
    </row>
    <row r="253" spans="1:5" x14ac:dyDescent="0.2">
      <c r="A253" s="8">
        <v>38016</v>
      </c>
      <c r="B253" s="9">
        <v>18.579999999999998</v>
      </c>
      <c r="C253" s="10">
        <f t="shared" si="20"/>
        <v>1.6411378555798529E-2</v>
      </c>
    </row>
    <row r="254" spans="1:5" x14ac:dyDescent="0.2">
      <c r="A254" s="8">
        <v>37986</v>
      </c>
      <c r="B254" s="9">
        <v>18.28</v>
      </c>
      <c r="C254" s="10">
        <f t="shared" si="20"/>
        <v>2.2943480693900398E-2</v>
      </c>
      <c r="D254" s="10" cm="1">
        <f t="array" ref="D254">PRODUCT((1+C254:C265)^(12/12))-1</f>
        <v>0.1680511182108626</v>
      </c>
      <c r="E254" s="11">
        <f t="shared" ref="E254" si="26">_xlfn.STDEV.P(C254:C265)</f>
        <v>1.9834264444317129E-2</v>
      </c>
    </row>
    <row r="255" spans="1:5" x14ac:dyDescent="0.2">
      <c r="A255" s="8">
        <v>37953</v>
      </c>
      <c r="B255" s="9">
        <v>17.87</v>
      </c>
      <c r="C255" s="10">
        <f t="shared" si="20"/>
        <v>9.6045197740113955E-3</v>
      </c>
    </row>
    <row r="256" spans="1:5" x14ac:dyDescent="0.2">
      <c r="A256" s="8">
        <v>37925</v>
      </c>
      <c r="B256" s="9">
        <v>17.7</v>
      </c>
      <c r="C256" s="10">
        <f t="shared" si="20"/>
        <v>3.2070572635902433E-2</v>
      </c>
    </row>
    <row r="257" spans="1:5" x14ac:dyDescent="0.2">
      <c r="A257" s="8">
        <v>37894</v>
      </c>
      <c r="B257" s="9">
        <v>17.149989999999999</v>
      </c>
      <c r="C257" s="10">
        <f t="shared" si="20"/>
        <v>-1.7462175472745408E-3</v>
      </c>
    </row>
    <row r="258" spans="1:5" x14ac:dyDescent="0.2">
      <c r="A258" s="8">
        <v>37862</v>
      </c>
      <c r="B258" s="9">
        <v>17.17999</v>
      </c>
      <c r="C258" s="10">
        <f t="shared" ref="C258:C289" si="27">(B258-B259)/B259</f>
        <v>1.6568057140862281E-2</v>
      </c>
    </row>
    <row r="259" spans="1:5" x14ac:dyDescent="0.2">
      <c r="A259" s="8">
        <v>37833</v>
      </c>
      <c r="B259" s="9">
        <v>16.899989999999999</v>
      </c>
      <c r="C259" s="10">
        <f t="shared" si="27"/>
        <v>5.9147424511535752E-4</v>
      </c>
    </row>
    <row r="260" spans="1:5" x14ac:dyDescent="0.2">
      <c r="A260" s="8">
        <v>37802</v>
      </c>
      <c r="B260" s="9">
        <v>16.89</v>
      </c>
      <c r="C260" s="10">
        <f t="shared" si="27"/>
        <v>2.3732923600638528E-3</v>
      </c>
    </row>
    <row r="261" spans="1:5" x14ac:dyDescent="0.2">
      <c r="A261" s="8">
        <v>37771</v>
      </c>
      <c r="B261" s="9">
        <v>16.850010000000001</v>
      </c>
      <c r="C261" s="10">
        <f t="shared" si="27"/>
        <v>4.399070631970263E-2</v>
      </c>
    </row>
    <row r="262" spans="1:5" x14ac:dyDescent="0.2">
      <c r="A262" s="8">
        <v>37741</v>
      </c>
      <c r="B262" s="9">
        <v>16.14</v>
      </c>
      <c r="C262" s="10">
        <f t="shared" si="27"/>
        <v>5.2151238591916602E-2</v>
      </c>
    </row>
    <row r="263" spans="1:5" x14ac:dyDescent="0.2">
      <c r="A263" s="8">
        <v>37711</v>
      </c>
      <c r="B263" s="9">
        <v>15.34</v>
      </c>
      <c r="C263" s="10">
        <f t="shared" si="27"/>
        <v>-1.3020833333333057E-3</v>
      </c>
    </row>
    <row r="264" spans="1:5" x14ac:dyDescent="0.2">
      <c r="A264" s="8">
        <v>37680</v>
      </c>
      <c r="B264" s="9">
        <v>15.36</v>
      </c>
      <c r="C264" s="10">
        <f t="shared" si="27"/>
        <v>-3.8910505836576197E-3</v>
      </c>
    </row>
    <row r="265" spans="1:5" x14ac:dyDescent="0.2">
      <c r="A265" s="8">
        <v>37652</v>
      </c>
      <c r="B265" s="9">
        <v>15.42</v>
      </c>
      <c r="C265" s="10">
        <f t="shared" si="27"/>
        <v>-1.4696485623003222E-2</v>
      </c>
    </row>
    <row r="266" spans="1:5" x14ac:dyDescent="0.2">
      <c r="A266" s="8">
        <v>37621</v>
      </c>
      <c r="B266" s="9">
        <v>15.65</v>
      </c>
      <c r="C266" s="10">
        <f t="shared" si="27"/>
        <v>-3.4547171778425805E-2</v>
      </c>
      <c r="D266" s="10" cm="1">
        <f t="array" ref="D266">PRODUCT((1+C266:C277)^(12/12))-1</f>
        <v>-0.12374020156774934</v>
      </c>
      <c r="E266" s="11">
        <f t="shared" ref="E266" si="28">_xlfn.STDEV.P(C266:C277)</f>
        <v>3.1456866240073052E-2</v>
      </c>
    </row>
    <row r="267" spans="1:5" x14ac:dyDescent="0.2">
      <c r="A267" s="8">
        <v>37589</v>
      </c>
      <c r="B267" s="9">
        <v>16.21001</v>
      </c>
      <c r="C267" s="10">
        <f t="shared" si="27"/>
        <v>3.5783386581469658E-2</v>
      </c>
    </row>
    <row r="268" spans="1:5" x14ac:dyDescent="0.2">
      <c r="A268" s="8">
        <v>37560</v>
      </c>
      <c r="B268" s="9">
        <v>15.65</v>
      </c>
      <c r="C268" s="10">
        <f t="shared" si="27"/>
        <v>4.2638241172551668E-2</v>
      </c>
    </row>
    <row r="269" spans="1:5" x14ac:dyDescent="0.2">
      <c r="A269" s="8">
        <v>37529</v>
      </c>
      <c r="B269" s="9">
        <v>15.01</v>
      </c>
      <c r="C269" s="10">
        <f t="shared" si="27"/>
        <v>-6.3630692451653231E-2</v>
      </c>
    </row>
    <row r="270" spans="1:5" x14ac:dyDescent="0.2">
      <c r="A270" s="8">
        <v>37498</v>
      </c>
      <c r="B270" s="9">
        <v>16.03</v>
      </c>
      <c r="C270" s="10">
        <f t="shared" si="27"/>
        <v>1.0081915563957274E-2</v>
      </c>
    </row>
    <row r="271" spans="1:5" x14ac:dyDescent="0.2">
      <c r="A271" s="8">
        <v>37468</v>
      </c>
      <c r="B271" s="9">
        <v>15.87</v>
      </c>
      <c r="C271" s="10">
        <f t="shared" si="27"/>
        <v>-4.2245599127580531E-2</v>
      </c>
    </row>
    <row r="272" spans="1:5" x14ac:dyDescent="0.2">
      <c r="A272" s="8">
        <v>37435</v>
      </c>
      <c r="B272" s="9">
        <v>16.57001</v>
      </c>
      <c r="C272" s="10">
        <f t="shared" si="27"/>
        <v>-4.6604718066743336E-2</v>
      </c>
    </row>
    <row r="273" spans="1:5" x14ac:dyDescent="0.2">
      <c r="A273" s="8">
        <v>37407</v>
      </c>
      <c r="B273" s="9">
        <v>17.38</v>
      </c>
      <c r="C273" s="10">
        <f t="shared" si="27"/>
        <v>-4.011461318051592E-3</v>
      </c>
    </row>
    <row r="274" spans="1:5" x14ac:dyDescent="0.2">
      <c r="A274" s="8">
        <v>37376</v>
      </c>
      <c r="B274" s="9">
        <v>17.45</v>
      </c>
      <c r="C274" s="10">
        <f t="shared" si="27"/>
        <v>-2.295632698768198E-2</v>
      </c>
    </row>
    <row r="275" spans="1:5" x14ac:dyDescent="0.2">
      <c r="A275" s="8">
        <v>37344</v>
      </c>
      <c r="B275" s="9">
        <v>17.86</v>
      </c>
      <c r="C275" s="10">
        <f t="shared" si="27"/>
        <v>1.2471655328798121E-2</v>
      </c>
    </row>
    <row r="276" spans="1:5" x14ac:dyDescent="0.2">
      <c r="A276" s="8">
        <v>37315</v>
      </c>
      <c r="B276" s="9">
        <v>17.64</v>
      </c>
      <c r="C276" s="10">
        <f t="shared" si="27"/>
        <v>-8.4311458297615105E-3</v>
      </c>
    </row>
    <row r="277" spans="1:5" x14ac:dyDescent="0.2">
      <c r="A277" s="8">
        <v>37287</v>
      </c>
      <c r="B277" s="9">
        <v>17.78999</v>
      </c>
      <c r="C277" s="10">
        <f t="shared" si="27"/>
        <v>-3.9199328107502752E-3</v>
      </c>
    </row>
    <row r="278" spans="1:5" x14ac:dyDescent="0.2">
      <c r="A278" s="8">
        <v>37256</v>
      </c>
      <c r="B278" s="9">
        <v>17.86</v>
      </c>
      <c r="C278" s="10">
        <f t="shared" si="27"/>
        <v>-1.6769144773617181E-3</v>
      </c>
      <c r="D278" s="10" cm="1">
        <f t="array" ref="D278">PRODUCT((1+C278:C289)^(12/12))-1</f>
        <v>-6.3941299790356454E-2</v>
      </c>
      <c r="E278" s="11">
        <f t="shared" ref="E278" si="29">_xlfn.STDEV.P(C278:C289)</f>
        <v>3.4169363335892551E-2</v>
      </c>
    </row>
    <row r="279" spans="1:5" x14ac:dyDescent="0.2">
      <c r="A279" s="8">
        <v>37225</v>
      </c>
      <c r="B279" s="9">
        <v>17.89</v>
      </c>
      <c r="C279" s="10">
        <f t="shared" si="27"/>
        <v>3.7101449275362353E-2</v>
      </c>
    </row>
    <row r="280" spans="1:5" x14ac:dyDescent="0.2">
      <c r="A280" s="8">
        <v>37195</v>
      </c>
      <c r="B280" s="9">
        <v>17.25</v>
      </c>
      <c r="C280" s="10">
        <f t="shared" si="27"/>
        <v>2.2525192649673918E-2</v>
      </c>
    </row>
    <row r="281" spans="1:5" x14ac:dyDescent="0.2">
      <c r="A281" s="8">
        <v>37162</v>
      </c>
      <c r="B281" s="9">
        <v>16.87</v>
      </c>
      <c r="C281" s="10">
        <f t="shared" si="27"/>
        <v>-5.6487695749440611E-2</v>
      </c>
    </row>
    <row r="282" spans="1:5" x14ac:dyDescent="0.2">
      <c r="A282" s="8">
        <v>37134</v>
      </c>
      <c r="B282" s="9">
        <v>17.88</v>
      </c>
      <c r="C282" s="10">
        <f t="shared" si="27"/>
        <v>-3.0894308943089449E-2</v>
      </c>
    </row>
    <row r="283" spans="1:5" x14ac:dyDescent="0.2">
      <c r="A283" s="8">
        <v>37103</v>
      </c>
      <c r="B283" s="9">
        <v>18.45</v>
      </c>
      <c r="C283" s="10">
        <f t="shared" si="27"/>
        <v>-1.0828370330265066E-3</v>
      </c>
    </row>
    <row r="284" spans="1:5" x14ac:dyDescent="0.2">
      <c r="A284" s="8">
        <v>37071</v>
      </c>
      <c r="B284" s="9">
        <v>18.47</v>
      </c>
      <c r="C284" s="10">
        <f t="shared" si="27"/>
        <v>-1.5457897365616908E-2</v>
      </c>
    </row>
    <row r="285" spans="1:5" x14ac:dyDescent="0.2">
      <c r="A285" s="8">
        <v>37042</v>
      </c>
      <c r="B285" s="9">
        <v>18.759989999999998</v>
      </c>
      <c r="C285" s="10">
        <f t="shared" si="27"/>
        <v>9.1441635287788352E-3</v>
      </c>
    </row>
    <row r="286" spans="1:5" x14ac:dyDescent="0.2">
      <c r="A286" s="8">
        <v>37011</v>
      </c>
      <c r="B286" s="9">
        <v>18.59</v>
      </c>
      <c r="C286" s="10">
        <f t="shared" si="27"/>
        <v>4.6145188519977509E-2</v>
      </c>
    </row>
    <row r="287" spans="1:5" x14ac:dyDescent="0.2">
      <c r="A287" s="8">
        <v>36980</v>
      </c>
      <c r="B287" s="9">
        <v>17.77</v>
      </c>
      <c r="C287" s="10">
        <f t="shared" si="27"/>
        <v>-4.5137023105857058E-2</v>
      </c>
    </row>
    <row r="288" spans="1:5" x14ac:dyDescent="0.2">
      <c r="A288" s="8">
        <v>36950</v>
      </c>
      <c r="B288" s="9">
        <v>18.61</v>
      </c>
      <c r="C288" s="10">
        <f t="shared" si="27"/>
        <v>-5.3407934893184163E-2</v>
      </c>
    </row>
    <row r="289" spans="1:4" x14ac:dyDescent="0.2">
      <c r="A289" s="8">
        <v>36922</v>
      </c>
      <c r="B289" s="9">
        <v>19.66</v>
      </c>
      <c r="C289" s="10">
        <f t="shared" si="27"/>
        <v>3.0398322851153139E-2</v>
      </c>
    </row>
    <row r="290" spans="1:4" x14ac:dyDescent="0.2">
      <c r="A290" s="8"/>
      <c r="B290" s="9">
        <v>19.079999999999998</v>
      </c>
      <c r="C290" s="10"/>
      <c r="D290" s="10"/>
    </row>
    <row r="291" spans="1:4" x14ac:dyDescent="0.2">
      <c r="A291" s="8"/>
      <c r="B291" s="9"/>
    </row>
    <row r="292" spans="1:4" x14ac:dyDescent="0.2">
      <c r="A292" s="40" t="s">
        <v>31</v>
      </c>
      <c r="B292" s="40"/>
    </row>
  </sheetData>
  <mergeCells count="2">
    <mergeCell ref="O1:R1"/>
    <mergeCell ref="A292:B292"/>
  </mergeCells>
  <pageMargins left="0.7" right="0.7" top="0.75" bottom="0.75" header="0.3" footer="0.3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EF96A-9DF4-4B09-ABA7-A806B257A19F}">
  <dimension ref="A1:X81"/>
  <sheetViews>
    <sheetView workbookViewId="0"/>
  </sheetViews>
  <sheetFormatPr baseColWidth="10" defaultColWidth="8.83203125" defaultRowHeight="15" x14ac:dyDescent="0.2"/>
  <cols>
    <col min="1" max="1" width="20.1640625" customWidth="1"/>
    <col min="3" max="3" width="13" customWidth="1"/>
    <col min="9" max="9" width="13.33203125" customWidth="1"/>
    <col min="10" max="10" width="12" customWidth="1"/>
    <col min="11" max="11" width="12.5" bestFit="1" customWidth="1"/>
    <col min="12" max="12" width="12.33203125" bestFit="1" customWidth="1"/>
    <col min="13" max="13" width="15.33203125" bestFit="1" customWidth="1"/>
    <col min="18" max="18" width="15.5" customWidth="1"/>
    <col min="19" max="19" width="9.5" style="14" bestFit="1" customWidth="1"/>
    <col min="21" max="21" width="13.83203125" customWidth="1"/>
    <col min="22" max="22" width="9.5" bestFit="1" customWidth="1"/>
    <col min="23" max="23" width="12.6640625" bestFit="1" customWidth="1"/>
    <col min="24" max="24" width="13" customWidth="1"/>
  </cols>
  <sheetData>
    <row r="1" spans="1:24" x14ac:dyDescent="0.2">
      <c r="A1" s="25" t="s">
        <v>0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U1" s="27" t="s">
        <v>1</v>
      </c>
      <c r="V1" s="28" t="s">
        <v>2</v>
      </c>
      <c r="W1" s="27" t="s">
        <v>3</v>
      </c>
    </row>
    <row r="2" spans="1:24" x14ac:dyDescent="0.2">
      <c r="A2" s="29" t="s">
        <v>4</v>
      </c>
      <c r="R2" t="s">
        <v>5</v>
      </c>
      <c r="S2"/>
      <c r="U2" t="str">
        <f>A2</f>
        <v>VV</v>
      </c>
      <c r="V2" s="14">
        <v>0.28000000000000003</v>
      </c>
      <c r="W2" s="30">
        <f>$R$3*V2</f>
        <v>28000.000000000004</v>
      </c>
    </row>
    <row r="3" spans="1:24" x14ac:dyDescent="0.2">
      <c r="A3" s="27" t="str" cm="1">
        <f t="array" ref="A3:O5">TRANSPOSE('[1]VV equity data'!H1:J15)</f>
        <v>Year</v>
      </c>
      <c r="B3" s="27">
        <v>2024</v>
      </c>
      <c r="C3" s="27">
        <v>2023</v>
      </c>
      <c r="D3" s="27">
        <v>2022</v>
      </c>
      <c r="E3" s="27">
        <v>2021</v>
      </c>
      <c r="F3" s="27">
        <v>2020</v>
      </c>
      <c r="G3" s="27">
        <v>2019</v>
      </c>
      <c r="H3" s="27">
        <v>2018</v>
      </c>
      <c r="I3" s="27">
        <v>2017</v>
      </c>
      <c r="J3" s="27">
        <v>2016</v>
      </c>
      <c r="K3" s="27">
        <v>2015</v>
      </c>
      <c r="L3" s="27">
        <v>2014</v>
      </c>
      <c r="M3" s="27">
        <v>2013</v>
      </c>
      <c r="N3" s="27">
        <v>2012</v>
      </c>
      <c r="O3" s="27">
        <v>2011</v>
      </c>
      <c r="R3" s="30">
        <v>100000</v>
      </c>
      <c r="S3" t="s">
        <v>3</v>
      </c>
      <c r="U3" t="str">
        <f>A7</f>
        <v>VB</v>
      </c>
      <c r="V3" s="14">
        <v>7.0000000000000007E-2</v>
      </c>
      <c r="W3" s="30">
        <f t="shared" ref="W3:W6" si="0">$R$3*V3</f>
        <v>7000.0000000000009</v>
      </c>
      <c r="X3" s="14"/>
    </row>
    <row r="4" spans="1:24" s="14" customFormat="1" x14ac:dyDescent="0.2">
      <c r="A4" s="28" t="str">
        <v>Returns (%)</v>
      </c>
      <c r="B4" s="14">
        <v>0.23630529452211779</v>
      </c>
      <c r="C4" s="14">
        <v>0.25229621125143575</v>
      </c>
      <c r="D4" s="14">
        <v>-0.21183603293819586</v>
      </c>
      <c r="E4" s="14">
        <v>0.25765335154205049</v>
      </c>
      <c r="F4" s="14">
        <v>0.18871753246753231</v>
      </c>
      <c r="G4" s="14">
        <v>0.28713216089152027</v>
      </c>
      <c r="H4" s="14">
        <v>-6.2979278838310004E-2</v>
      </c>
      <c r="I4" s="14">
        <v>0.19742111946859353</v>
      </c>
      <c r="J4" s="14">
        <v>9.486631016042768E-2</v>
      </c>
      <c r="K4" s="14">
        <v>-9.4289649327262692E-3</v>
      </c>
      <c r="L4" s="14">
        <v>0.11308962264150879</v>
      </c>
      <c r="M4" s="14">
        <v>0.30141190914671512</v>
      </c>
      <c r="N4" s="14">
        <v>0.13717277486910939</v>
      </c>
      <c r="O4" s="14">
        <v>-5.3810102412775729E-3</v>
      </c>
      <c r="U4" s="14" t="str">
        <f>A12</f>
        <v>VTIAX</v>
      </c>
      <c r="V4" s="14">
        <v>0.15</v>
      </c>
      <c r="W4" s="30">
        <f t="shared" si="0"/>
        <v>15000</v>
      </c>
    </row>
    <row r="5" spans="1:24" s="11" customFormat="1" x14ac:dyDescent="0.2">
      <c r="A5" s="31" t="str">
        <v>StDev</v>
      </c>
      <c r="B5" s="11">
        <v>2.9784877287210326E-2</v>
      </c>
      <c r="C5" s="11">
        <v>4.1118230110667765E-2</v>
      </c>
      <c r="D5" s="11">
        <v>6.4743306661421446E-2</v>
      </c>
      <c r="E5" s="11">
        <v>3.0682644183264971E-2</v>
      </c>
      <c r="F5" s="11">
        <v>7.3697180118202171E-2</v>
      </c>
      <c r="G5" s="11">
        <v>3.5402911389036847E-2</v>
      </c>
      <c r="H5" s="11">
        <v>4.2832775702203243E-2</v>
      </c>
      <c r="I5" s="11">
        <v>1.1878009961479976E-2</v>
      </c>
      <c r="J5" s="11">
        <v>2.868412408848197E-2</v>
      </c>
      <c r="K5" s="11">
        <v>3.8578414243559754E-2</v>
      </c>
      <c r="L5" s="11">
        <v>2.3566691668552096E-2</v>
      </c>
      <c r="M5" s="11">
        <v>2.3968390944283387E-2</v>
      </c>
      <c r="N5" s="11">
        <v>2.8799590474161897E-2</v>
      </c>
      <c r="O5" s="11">
        <v>4.5714959915350253E-2</v>
      </c>
      <c r="U5" s="11" t="str">
        <f>A17</f>
        <v>VWO</v>
      </c>
      <c r="V5" s="14">
        <v>0.05</v>
      </c>
      <c r="W5" s="30">
        <f t="shared" si="0"/>
        <v>5000</v>
      </c>
    </row>
    <row r="6" spans="1:24" x14ac:dyDescent="0.2">
      <c r="U6" s="11" t="str">
        <f>A23</f>
        <v>BND</v>
      </c>
      <c r="V6" s="14">
        <v>0.11</v>
      </c>
      <c r="W6" s="30">
        <f t="shared" si="0"/>
        <v>11000</v>
      </c>
    </row>
    <row r="7" spans="1:24" x14ac:dyDescent="0.2">
      <c r="A7" s="29" t="s">
        <v>7</v>
      </c>
      <c r="U7" t="str">
        <f>A28</f>
        <v>VWEXS</v>
      </c>
      <c r="V7" s="14">
        <v>0.08</v>
      </c>
      <c r="W7" s="30">
        <f t="shared" ref="W7:W13" si="1">$R$3*V7</f>
        <v>8000</v>
      </c>
    </row>
    <row r="8" spans="1:24" x14ac:dyDescent="0.2">
      <c r="A8" s="27" t="str" cm="1">
        <f t="array" ref="A8:O10">TRANSPOSE('[1]VB equity data'!H1:J15)</f>
        <v>Year</v>
      </c>
      <c r="B8" s="27">
        <v>2024</v>
      </c>
      <c r="C8" s="27">
        <v>2023</v>
      </c>
      <c r="D8" s="27">
        <v>2022</v>
      </c>
      <c r="E8" s="27">
        <v>2021</v>
      </c>
      <c r="F8" s="27">
        <v>2020</v>
      </c>
      <c r="G8" s="27">
        <v>2019</v>
      </c>
      <c r="H8" s="27">
        <v>2018</v>
      </c>
      <c r="I8" s="27">
        <v>2017</v>
      </c>
      <c r="J8" s="27">
        <v>2016</v>
      </c>
      <c r="K8" s="27">
        <v>2015</v>
      </c>
      <c r="L8" s="27">
        <v>2014</v>
      </c>
      <c r="M8" s="27">
        <v>2013</v>
      </c>
      <c r="N8" s="27">
        <v>2012</v>
      </c>
      <c r="O8" s="27">
        <v>2011</v>
      </c>
      <c r="U8" t="str">
        <f>A33</f>
        <v>VFTSX</v>
      </c>
      <c r="V8" s="14">
        <v>0.08</v>
      </c>
      <c r="W8" s="30">
        <f t="shared" si="1"/>
        <v>8000</v>
      </c>
    </row>
    <row r="9" spans="1:24" s="14" customFormat="1" x14ac:dyDescent="0.2">
      <c r="A9" s="28" t="str">
        <v>Returns (%)</v>
      </c>
      <c r="B9" s="14">
        <v>0.12633009890779512</v>
      </c>
      <c r="C9" s="14">
        <v>0.16230794377247504</v>
      </c>
      <c r="D9" s="14">
        <v>-0.18791203929029665</v>
      </c>
      <c r="E9" s="14">
        <v>0.16093075816724878</v>
      </c>
      <c r="F9" s="14">
        <v>0.17531997102149233</v>
      </c>
      <c r="G9" s="14">
        <v>0.2549435563300253</v>
      </c>
      <c r="H9" s="14">
        <v>-0.10696887686062273</v>
      </c>
      <c r="I9" s="14">
        <v>0.14609181141439187</v>
      </c>
      <c r="J9" s="14">
        <v>0.1655820679681852</v>
      </c>
      <c r="K9" s="14">
        <v>-5.1602948739928323E-2</v>
      </c>
      <c r="L9" s="14">
        <v>6.102773988176402E-2</v>
      </c>
      <c r="M9" s="14">
        <v>0.35908529048207738</v>
      </c>
      <c r="N9" s="14">
        <v>0.16118845988230257</v>
      </c>
      <c r="O9" s="14">
        <v>-4.0754509155995766E-2</v>
      </c>
      <c r="U9" t="str">
        <f>A38</f>
        <v>VMBS</v>
      </c>
      <c r="V9" s="14">
        <v>0.08</v>
      </c>
      <c r="W9" s="30">
        <f t="shared" si="1"/>
        <v>8000</v>
      </c>
    </row>
    <row r="10" spans="1:24" x14ac:dyDescent="0.2">
      <c r="A10" s="27" t="str">
        <v>StDev</v>
      </c>
      <c r="B10">
        <v>5.2272758115444178E-2</v>
      </c>
      <c r="C10">
        <v>6.1961677017082488E-2</v>
      </c>
      <c r="D10">
        <v>6.9218736185078358E-2</v>
      </c>
      <c r="E10">
        <v>3.0257745603533153E-2</v>
      </c>
      <c r="F10">
        <v>9.8067938221790843E-2</v>
      </c>
      <c r="G10">
        <v>4.6808588816626737E-2</v>
      </c>
      <c r="H10">
        <v>5.0935914954361637E-2</v>
      </c>
      <c r="I10">
        <v>1.5262031667162942E-2</v>
      </c>
      <c r="J10">
        <v>4.3315876585390468E-2</v>
      </c>
      <c r="K10">
        <v>3.744191943709943E-2</v>
      </c>
      <c r="L10">
        <v>3.6444962156509678E-2</v>
      </c>
      <c r="M10">
        <v>2.9445229337379968E-2</v>
      </c>
      <c r="N10">
        <v>3.3878729692785305E-2</v>
      </c>
      <c r="O10">
        <v>6.3999337591763975E-2</v>
      </c>
      <c r="U10" s="14" t="str">
        <f>A44</f>
        <v>VNQ REIT</v>
      </c>
      <c r="V10" s="14">
        <v>0.03</v>
      </c>
      <c r="W10" s="30">
        <f t="shared" si="1"/>
        <v>3000</v>
      </c>
    </row>
    <row r="11" spans="1:24" x14ac:dyDescent="0.2">
      <c r="A11" s="27"/>
      <c r="U11" t="str">
        <f>A49</f>
        <v xml:space="preserve">QAI HYLI HF </v>
      </c>
      <c r="V11" s="14">
        <v>0.03</v>
      </c>
      <c r="W11" s="30">
        <f t="shared" si="1"/>
        <v>3000</v>
      </c>
    </row>
    <row r="12" spans="1:24" x14ac:dyDescent="0.2">
      <c r="A12" s="29" t="s">
        <v>9</v>
      </c>
      <c r="U12" t="s">
        <v>18</v>
      </c>
      <c r="V12" s="14">
        <v>0.01</v>
      </c>
      <c r="W12" s="30">
        <f t="shared" si="1"/>
        <v>1000</v>
      </c>
    </row>
    <row r="13" spans="1:24" x14ac:dyDescent="0.2">
      <c r="A13" s="27" t="str" cm="1">
        <f t="array" ref="A13:O15">TRANSPOSE('[1]VTIAX equity data'!H1:J15)</f>
        <v>Year</v>
      </c>
      <c r="B13" s="27">
        <v>2024</v>
      </c>
      <c r="C13" s="27">
        <v>2023</v>
      </c>
      <c r="D13" s="27">
        <v>2022</v>
      </c>
      <c r="E13" s="27">
        <v>2021</v>
      </c>
      <c r="F13" s="27">
        <v>2020</v>
      </c>
      <c r="G13" s="27">
        <v>2019</v>
      </c>
      <c r="H13" s="27">
        <v>2018</v>
      </c>
      <c r="I13" s="27">
        <v>2017</v>
      </c>
      <c r="J13" s="27">
        <v>2016</v>
      </c>
      <c r="K13" s="27">
        <v>2015</v>
      </c>
      <c r="L13" s="27">
        <v>2014</v>
      </c>
      <c r="M13" s="27">
        <v>2013</v>
      </c>
      <c r="N13" s="27">
        <v>2012</v>
      </c>
      <c r="O13" s="27">
        <v>2011</v>
      </c>
      <c r="U13" t="str">
        <f>A59</f>
        <v xml:space="preserve">RLY Multi-Asset </v>
      </c>
      <c r="V13" s="14">
        <v>0.03</v>
      </c>
      <c r="W13" s="30">
        <f t="shared" si="1"/>
        <v>3000</v>
      </c>
    </row>
    <row r="14" spans="1:24" s="14" customFormat="1" x14ac:dyDescent="0.2">
      <c r="A14" s="28" t="str">
        <v>Returns (%)</v>
      </c>
      <c r="B14" s="14">
        <v>1.6735679779158019E-2</v>
      </c>
      <c r="C14" s="14">
        <v>0.12064965197215782</v>
      </c>
      <c r="D14" s="14">
        <v>-0.18640868334119864</v>
      </c>
      <c r="E14" s="14">
        <v>5.6682180851063357E-2</v>
      </c>
      <c r="F14" s="14">
        <v>8.0265756868378224E-2</v>
      </c>
      <c r="G14" s="14">
        <v>0.17937314697162177</v>
      </c>
      <c r="H14" s="14">
        <v>-0.16880830839640903</v>
      </c>
      <c r="I14" s="14">
        <v>0.23823016564952004</v>
      </c>
      <c r="J14" s="14">
        <v>1.7069385945466697E-2</v>
      </c>
      <c r="K14" s="14">
        <v>-6.6818369880016992E-2</v>
      </c>
      <c r="L14" s="14">
        <v>-7.7128675066819641E-2</v>
      </c>
      <c r="M14" s="14">
        <v>0.11281070745697863</v>
      </c>
      <c r="N14" s="14">
        <v>0.15085574572127114</v>
      </c>
      <c r="O14" s="14">
        <v>-0.18003207698476364</v>
      </c>
      <c r="U14" s="27" t="s">
        <v>20</v>
      </c>
      <c r="V14" s="28">
        <f>SUM(V2:V13)</f>
        <v>1</v>
      </c>
      <c r="W14" s="32">
        <f>SUM(W2:W13)</f>
        <v>100000</v>
      </c>
    </row>
    <row r="15" spans="1:24" x14ac:dyDescent="0.2">
      <c r="A15" s="27" t="str">
        <v>StDev</v>
      </c>
      <c r="B15">
        <v>2.8986702974204876E-2</v>
      </c>
      <c r="C15">
        <v>4.6109914592995634E-2</v>
      </c>
      <c r="D15">
        <v>6.1132111077121118E-2</v>
      </c>
      <c r="E15">
        <v>2.4716973068882892E-2</v>
      </c>
      <c r="F15">
        <v>7.3259639636772289E-2</v>
      </c>
      <c r="G15">
        <v>3.3022420014299975E-2</v>
      </c>
      <c r="H15">
        <v>3.7864706492339889E-2</v>
      </c>
      <c r="I15">
        <v>1.2497749886718184E-2</v>
      </c>
      <c r="J15">
        <v>3.4132823876751747E-2</v>
      </c>
      <c r="K15">
        <v>4.0358400738054356E-2</v>
      </c>
      <c r="L15">
        <v>3.1410605141103477E-2</v>
      </c>
      <c r="M15">
        <v>3.3129769146367498E-2</v>
      </c>
      <c r="N15">
        <v>4.4637344542138739E-2</v>
      </c>
      <c r="O15">
        <v>5.9870284705858444E-2</v>
      </c>
    </row>
    <row r="16" spans="1:24" x14ac:dyDescent="0.2">
      <c r="A16" s="27"/>
    </row>
    <row r="17" spans="1:15" x14ac:dyDescent="0.2">
      <c r="A17" s="29" t="s">
        <v>11</v>
      </c>
    </row>
    <row r="18" spans="1:15" x14ac:dyDescent="0.2">
      <c r="A18" s="27" t="str" cm="1">
        <f t="array" ref="A18:O20">TRANSPOSE('[1]VWO equity data'!H1:J15)</f>
        <v>Year</v>
      </c>
      <c r="B18" s="27">
        <v>2024</v>
      </c>
      <c r="C18" s="27">
        <v>2023</v>
      </c>
      <c r="D18" s="27">
        <v>2022</v>
      </c>
      <c r="E18" s="27">
        <v>2021</v>
      </c>
      <c r="F18" s="27">
        <v>2020</v>
      </c>
      <c r="G18" s="27">
        <v>2019</v>
      </c>
      <c r="H18" s="27">
        <v>2018</v>
      </c>
      <c r="I18" s="27">
        <v>2017</v>
      </c>
      <c r="J18" s="27">
        <v>2016</v>
      </c>
      <c r="K18" s="27">
        <v>2015</v>
      </c>
      <c r="L18" s="27">
        <v>2014</v>
      </c>
      <c r="M18" s="27">
        <v>2013</v>
      </c>
      <c r="N18" s="27">
        <v>2012</v>
      </c>
      <c r="O18" s="27">
        <v>2011</v>
      </c>
    </row>
    <row r="19" spans="1:15" x14ac:dyDescent="0.2">
      <c r="A19" s="27" t="str">
        <v>Returns (%)</v>
      </c>
      <c r="B19" s="14">
        <v>7.1532846715328446E-2</v>
      </c>
      <c r="C19" s="14">
        <v>5.4386865059004696E-2</v>
      </c>
      <c r="D19" s="14">
        <v>-0.21188839466235354</v>
      </c>
      <c r="E19" s="14">
        <v>-1.2971462781879883E-2</v>
      </c>
      <c r="F19" s="14">
        <v>0.12682707443220176</v>
      </c>
      <c r="G19" s="14">
        <v>0.16719160104986863</v>
      </c>
      <c r="H19" s="14">
        <v>-0.17011544325854955</v>
      </c>
      <c r="I19" s="14">
        <v>0.28311906092789307</v>
      </c>
      <c r="J19" s="14">
        <v>9.3855090186486967E-2</v>
      </c>
      <c r="K19" s="14">
        <v>-0.18265867066466746</v>
      </c>
      <c r="L19" s="14">
        <v>-2.72241127856101E-2</v>
      </c>
      <c r="M19" s="14">
        <v>-7.6128452728497664E-2</v>
      </c>
      <c r="N19" s="14">
        <v>0.16540172729651914</v>
      </c>
      <c r="O19" s="14">
        <v>-0.20643821391484918</v>
      </c>
    </row>
    <row r="20" spans="1:15" x14ac:dyDescent="0.2">
      <c r="A20" s="27" t="str">
        <v>StDev</v>
      </c>
      <c r="B20">
        <v>2.9714537894229551E-2</v>
      </c>
      <c r="C20">
        <v>4.8694448378477286E-2</v>
      </c>
      <c r="D20">
        <v>5.7570201274414506E-2</v>
      </c>
      <c r="E20">
        <v>2.7022334824083838E-2</v>
      </c>
      <c r="F20">
        <v>7.1724369289068834E-2</v>
      </c>
      <c r="G20">
        <v>4.1296575047821894E-2</v>
      </c>
      <c r="H20">
        <v>4.6309633304833786E-2</v>
      </c>
      <c r="I20">
        <v>2.069530586227903E-2</v>
      </c>
      <c r="J20">
        <v>4.62251122364618E-2</v>
      </c>
      <c r="K20">
        <v>4.8304219789800977E-2</v>
      </c>
      <c r="L20">
        <v>4.3812930990456037E-2</v>
      </c>
      <c r="M20">
        <v>3.535885075101939E-2</v>
      </c>
      <c r="N20">
        <v>5.2080841172682663E-2</v>
      </c>
      <c r="O20">
        <v>7.9184630267108091E-2</v>
      </c>
    </row>
    <row r="21" spans="1:15" x14ac:dyDescent="0.2">
      <c r="A21" s="27"/>
    </row>
    <row r="22" spans="1:15" x14ac:dyDescent="0.2">
      <c r="A22" s="33" t="s">
        <v>21</v>
      </c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</row>
    <row r="23" spans="1:15" x14ac:dyDescent="0.2">
      <c r="A23" s="29" t="s">
        <v>12</v>
      </c>
    </row>
    <row r="24" spans="1:15" x14ac:dyDescent="0.2">
      <c r="A24" s="27" t="str" cm="1">
        <f t="array" ref="A24:O26">TRANSPOSE('[1]BND bond data'!H1:J15)</f>
        <v>Year</v>
      </c>
      <c r="B24" s="27">
        <v>2024</v>
      </c>
      <c r="C24" s="27">
        <v>2023</v>
      </c>
      <c r="D24" s="27">
        <v>2022</v>
      </c>
      <c r="E24" s="27">
        <v>2021</v>
      </c>
      <c r="F24" s="27">
        <v>2020</v>
      </c>
      <c r="G24" s="27">
        <v>2019</v>
      </c>
      <c r="H24" s="27">
        <v>2018</v>
      </c>
      <c r="I24" s="27">
        <v>2017</v>
      </c>
      <c r="J24" s="27">
        <v>2016</v>
      </c>
      <c r="K24" s="27">
        <v>2015</v>
      </c>
      <c r="L24" s="27">
        <v>2014</v>
      </c>
      <c r="M24" s="27">
        <v>2013</v>
      </c>
      <c r="N24" s="27">
        <v>2012</v>
      </c>
      <c r="O24" s="27">
        <v>2011</v>
      </c>
    </row>
    <row r="25" spans="1:15" s="14" customFormat="1" x14ac:dyDescent="0.2">
      <c r="A25" s="28" t="str">
        <v>Returns (%)</v>
      </c>
      <c r="B25" s="14">
        <v>-2.2297756628144483E-2</v>
      </c>
      <c r="C25" s="14">
        <v>2.3802895322939666E-2</v>
      </c>
      <c r="D25" s="14">
        <v>-0.15233038348082595</v>
      </c>
      <c r="E25" s="14">
        <v>-3.9006690100918617E-2</v>
      </c>
      <c r="F25" s="14">
        <v>5.1633675172907179E-2</v>
      </c>
      <c r="G25" s="14">
        <v>5.8704709001389244E-2</v>
      </c>
      <c r="H25" s="14">
        <v>-2.8932205467696481E-2</v>
      </c>
      <c r="I25" s="14">
        <v>9.6546602302260975E-3</v>
      </c>
      <c r="J25" s="14">
        <v>3.7147102526025044E-4</v>
      </c>
      <c r="K25" s="14">
        <v>-1.9545951195823474E-2</v>
      </c>
      <c r="L25" s="14">
        <v>2.898188632104981E-2</v>
      </c>
      <c r="M25" s="14">
        <v>-4.7364036653576136E-2</v>
      </c>
      <c r="N25" s="14">
        <v>5.8654536748861119E-3</v>
      </c>
      <c r="O25" s="14">
        <v>4.0737510900709983E-2</v>
      </c>
    </row>
    <row r="26" spans="1:15" x14ac:dyDescent="0.2">
      <c r="A26" s="27" t="str">
        <v>StDev</v>
      </c>
      <c r="B26">
        <v>1.6340263607334943E-2</v>
      </c>
      <c r="C26">
        <v>2.3363931667498807E-2</v>
      </c>
      <c r="D26">
        <v>2.2823484711387551E-2</v>
      </c>
      <c r="E26">
        <v>8.3974030544195881E-3</v>
      </c>
      <c r="F26">
        <v>1.223682692949548E-2</v>
      </c>
      <c r="G26">
        <v>1.017523627881875E-2</v>
      </c>
      <c r="H26">
        <v>8.2750567492192763E-3</v>
      </c>
      <c r="I26">
        <v>3.9451299924629212E-3</v>
      </c>
      <c r="J26">
        <v>1.1190349198056594E-2</v>
      </c>
      <c r="K26">
        <v>1.0088715937928367E-2</v>
      </c>
      <c r="L26">
        <v>6.8859322252040498E-3</v>
      </c>
      <c r="M26">
        <v>9.5495786586662825E-3</v>
      </c>
      <c r="N26">
        <v>6.007801508538111E-3</v>
      </c>
      <c r="O26">
        <v>6.7862888312501483E-3</v>
      </c>
    </row>
    <row r="27" spans="1:15" x14ac:dyDescent="0.2">
      <c r="A27" s="27"/>
    </row>
    <row r="28" spans="1:15" x14ac:dyDescent="0.2">
      <c r="A28" s="29" t="s">
        <v>13</v>
      </c>
    </row>
    <row r="29" spans="1:15" x14ac:dyDescent="0.2">
      <c r="A29" s="27" t="str" cm="1">
        <f t="array" ref="A29:O31">TRANSPOSE('[1]VWESX bond data'!H1:J15)</f>
        <v>Year</v>
      </c>
      <c r="B29" s="27">
        <v>2024</v>
      </c>
      <c r="C29" s="27">
        <v>2023</v>
      </c>
      <c r="D29" s="27">
        <v>2022</v>
      </c>
      <c r="E29" s="27">
        <v>2021</v>
      </c>
      <c r="F29" s="27">
        <v>2020</v>
      </c>
      <c r="G29" s="27">
        <v>2019</v>
      </c>
      <c r="H29" s="27">
        <v>2018</v>
      </c>
      <c r="I29" s="27">
        <v>2017</v>
      </c>
      <c r="J29" s="27">
        <v>2016</v>
      </c>
      <c r="K29" s="27">
        <v>2015</v>
      </c>
      <c r="L29" s="27">
        <v>2014</v>
      </c>
      <c r="M29" s="27">
        <v>2013</v>
      </c>
      <c r="N29" s="27">
        <v>2012</v>
      </c>
      <c r="O29" s="27">
        <v>2011</v>
      </c>
    </row>
    <row r="30" spans="1:15" s="14" customFormat="1" x14ac:dyDescent="0.2">
      <c r="A30" s="28" t="str">
        <v>Returns (%)</v>
      </c>
      <c r="B30" s="14">
        <v>-7.380073800737974E-2</v>
      </c>
      <c r="C30" s="14">
        <v>4.2307692307692601E-2</v>
      </c>
      <c r="D30" s="14">
        <v>-0.2857142857142857</v>
      </c>
      <c r="E30" s="14">
        <v>-7.3791348600508844E-2</v>
      </c>
      <c r="F30" s="14">
        <v>7.6712328767123195E-2</v>
      </c>
      <c r="G30" s="14">
        <v>0.14420062695924818</v>
      </c>
      <c r="H30" s="14">
        <v>-0.10140845070422499</v>
      </c>
      <c r="I30" s="14">
        <v>5.8648111332008313E-2</v>
      </c>
      <c r="J30" s="14">
        <v>1.616161616161671E-2</v>
      </c>
      <c r="K30" s="14">
        <v>-7.906976744186045E-2</v>
      </c>
      <c r="L30" s="14">
        <v>0.11398963730569966</v>
      </c>
      <c r="M30" s="14">
        <v>-0.11059907834101368</v>
      </c>
      <c r="N30" s="14">
        <v>5.4421768707483054E-2</v>
      </c>
      <c r="O30" s="14">
        <v>0.10171306209850073</v>
      </c>
    </row>
    <row r="31" spans="1:15" x14ac:dyDescent="0.2">
      <c r="A31" s="27" t="str">
        <v>StDev</v>
      </c>
      <c r="B31">
        <v>3.0496312380645905E-2</v>
      </c>
      <c r="C31">
        <v>5.0002416501512791E-2</v>
      </c>
      <c r="D31">
        <v>4.8998539275018904E-2</v>
      </c>
      <c r="E31">
        <v>2.4557491550507737E-2</v>
      </c>
      <c r="F31">
        <v>4.0053343274028701E-2</v>
      </c>
      <c r="G31">
        <v>2.5801063971429214E-2</v>
      </c>
      <c r="H31">
        <v>1.7958692998077484E-2</v>
      </c>
      <c r="I31">
        <v>8.4379619258621585E-3</v>
      </c>
      <c r="J31">
        <v>2.4947390842080308E-2</v>
      </c>
      <c r="K31">
        <v>2.5319021671336706E-2</v>
      </c>
      <c r="L31">
        <v>1.6528597867303846E-2</v>
      </c>
      <c r="M31">
        <v>2.3813175534025618E-2</v>
      </c>
      <c r="N31">
        <v>2.0845174955191479E-2</v>
      </c>
      <c r="O31">
        <v>2.462277735158299E-2</v>
      </c>
    </row>
    <row r="32" spans="1:15" x14ac:dyDescent="0.2">
      <c r="A32" s="27"/>
    </row>
    <row r="33" spans="1:15" x14ac:dyDescent="0.2">
      <c r="A33" s="29" t="s">
        <v>14</v>
      </c>
    </row>
    <row r="34" spans="1:15" x14ac:dyDescent="0.2">
      <c r="A34" s="27" t="str" cm="1">
        <f t="array" ref="A34:O36">TRANSPOSE('[1]VFSTX bond data'!H1:J15)</f>
        <v>Year</v>
      </c>
      <c r="B34" s="27">
        <v>2024</v>
      </c>
      <c r="C34" s="27">
        <v>2023</v>
      </c>
      <c r="D34" s="27">
        <v>2022</v>
      </c>
      <c r="E34" s="27">
        <v>2021</v>
      </c>
      <c r="F34" s="27">
        <v>2020</v>
      </c>
      <c r="G34" s="27">
        <v>2019</v>
      </c>
      <c r="H34" s="27">
        <v>2018</v>
      </c>
      <c r="I34" s="27">
        <v>2017</v>
      </c>
      <c r="J34" s="27">
        <v>2016</v>
      </c>
      <c r="K34" s="27">
        <v>2015</v>
      </c>
      <c r="L34" s="27">
        <v>2014</v>
      </c>
      <c r="M34" s="27">
        <v>2013</v>
      </c>
      <c r="N34" s="27">
        <v>2012</v>
      </c>
      <c r="O34" s="27">
        <v>2011</v>
      </c>
    </row>
    <row r="35" spans="1:15" s="14" customFormat="1" x14ac:dyDescent="0.2">
      <c r="A35" s="28" t="str">
        <v>Returns (%)</v>
      </c>
      <c r="B35" s="14">
        <v>7.82013685239491E-3</v>
      </c>
      <c r="C35" s="14">
        <v>2.8140703517588017E-2</v>
      </c>
      <c r="D35" s="14">
        <v>-7.6137418755802933E-2</v>
      </c>
      <c r="E35" s="14">
        <v>-2.3572076155938593E-2</v>
      </c>
      <c r="F35" s="14">
        <v>2.7958993476235205E-2</v>
      </c>
      <c r="G35" s="14">
        <v>2.7777777777777901E-2</v>
      </c>
      <c r="H35" s="14">
        <v>-1.7873941674506288E-2</v>
      </c>
      <c r="I35" s="14">
        <v>0</v>
      </c>
      <c r="J35" s="14">
        <v>6.6287878787880672E-3</v>
      </c>
      <c r="K35" s="14">
        <v>-9.3808630393995562E-3</v>
      </c>
      <c r="L35" s="14">
        <v>-3.7383177570090576E-3</v>
      </c>
      <c r="M35" s="14">
        <v>-1.2003693444137098E-2</v>
      </c>
      <c r="N35" s="14">
        <v>1.7857142857142794E-2</v>
      </c>
      <c r="O35" s="14">
        <v>-1.20705663881151E-2</v>
      </c>
    </row>
    <row r="36" spans="1:15" x14ac:dyDescent="0.2">
      <c r="A36" s="27" t="str">
        <v>StDev</v>
      </c>
      <c r="B36">
        <v>7.4181986972778292E-3</v>
      </c>
      <c r="C36">
        <v>1.0447267991604179E-2</v>
      </c>
      <c r="D36">
        <v>1.2239366494484373E-2</v>
      </c>
      <c r="E36">
        <v>3.0528093872190204E-3</v>
      </c>
      <c r="F36">
        <v>1.2282015393026717E-2</v>
      </c>
      <c r="G36">
        <v>3.2733384792002986E-3</v>
      </c>
      <c r="H36">
        <v>3.1229029516280961E-3</v>
      </c>
      <c r="I36">
        <v>1.948861799761369E-3</v>
      </c>
      <c r="J36">
        <v>4.650058089874785E-3</v>
      </c>
      <c r="K36">
        <v>3.3124877148240908E-3</v>
      </c>
      <c r="L36">
        <v>3.1427016863383459E-3</v>
      </c>
      <c r="M36">
        <v>4.3894834944971763E-3</v>
      </c>
      <c r="N36">
        <v>3.2381346133425202E-3</v>
      </c>
      <c r="O36">
        <v>4.6158471310904815E-3</v>
      </c>
    </row>
    <row r="37" spans="1:15" x14ac:dyDescent="0.2">
      <c r="A37" s="27"/>
    </row>
    <row r="38" spans="1:15" x14ac:dyDescent="0.2">
      <c r="A38" s="29" t="s">
        <v>15</v>
      </c>
    </row>
    <row r="39" spans="1:15" x14ac:dyDescent="0.2">
      <c r="A39" s="27" t="str" cm="1">
        <f t="array" ref="A39:O41">TRANSPOSE('[1]VMBS bond data'!H1:J15)</f>
        <v>Year</v>
      </c>
      <c r="B39" s="27">
        <v>2024</v>
      </c>
      <c r="C39" s="27">
        <v>2023</v>
      </c>
      <c r="D39" s="27">
        <v>2022</v>
      </c>
      <c r="E39" s="27">
        <v>2021</v>
      </c>
      <c r="F39" s="27">
        <v>2020</v>
      </c>
      <c r="G39" s="27">
        <v>2019</v>
      </c>
      <c r="H39" s="27">
        <v>2018</v>
      </c>
      <c r="I39" s="27">
        <v>2017</v>
      </c>
      <c r="J39" s="27">
        <v>2016</v>
      </c>
      <c r="K39" s="27">
        <v>2015</v>
      </c>
      <c r="L39" s="27">
        <v>2014</v>
      </c>
      <c r="M39" s="27">
        <v>2013</v>
      </c>
      <c r="N39" s="27">
        <v>2012</v>
      </c>
      <c r="O39" s="27">
        <v>2011</v>
      </c>
    </row>
    <row r="40" spans="1:15" s="14" customFormat="1" x14ac:dyDescent="0.2">
      <c r="A40" s="28" t="str">
        <v>Returns (%)</v>
      </c>
      <c r="B40" s="14">
        <v>-2.2001725625539148E-2</v>
      </c>
      <c r="C40" s="14">
        <v>1.8453427065026506E-2</v>
      </c>
      <c r="D40" s="14">
        <v>-0.13853141559424653</v>
      </c>
      <c r="E40" s="14">
        <v>-2.274828925466954E-2</v>
      </c>
      <c r="F40" s="14">
        <v>1.6926838442731018E-2</v>
      </c>
      <c r="G40" s="14">
        <v>3.2627694697999532E-2</v>
      </c>
      <c r="H40" s="14">
        <v>-1.8115942028985588E-2</v>
      </c>
      <c r="I40" s="14">
        <v>2.8686173264484971E-3</v>
      </c>
      <c r="J40" s="14">
        <v>-8.1562974203339689E-3</v>
      </c>
      <c r="K40" s="14">
        <v>-5.4706659120914436E-3</v>
      </c>
      <c r="L40" s="14">
        <v>3.8743709927732572E-2</v>
      </c>
      <c r="M40" s="14">
        <v>-2.2360153256705262E-2</v>
      </c>
      <c r="N40" s="14">
        <v>6.1700196029679244E-3</v>
      </c>
      <c r="O40" s="14">
        <v>3.1819809069212113E-2</v>
      </c>
    </row>
    <row r="41" spans="1:15" x14ac:dyDescent="0.2">
      <c r="A41" s="27" t="str">
        <v>StDev</v>
      </c>
      <c r="B41">
        <v>1.7768645880761304E-2</v>
      </c>
      <c r="C41">
        <v>2.5725439260883928E-2</v>
      </c>
      <c r="D41">
        <v>2.5390893520595953E-2</v>
      </c>
      <c r="E41">
        <v>3.6619868295719154E-3</v>
      </c>
      <c r="F41">
        <v>4.3605512442351406E-3</v>
      </c>
      <c r="G41">
        <v>4.9795680163226162E-3</v>
      </c>
      <c r="H41">
        <v>6.9940540493608769E-3</v>
      </c>
      <c r="I41">
        <v>3.26225637490609E-3</v>
      </c>
      <c r="J41">
        <v>7.4162683796351308E-3</v>
      </c>
      <c r="K41">
        <v>5.2816283828930029E-3</v>
      </c>
      <c r="L41">
        <v>6.4371802150864311E-3</v>
      </c>
      <c r="M41">
        <v>7.4472226691593693E-3</v>
      </c>
      <c r="N41">
        <v>3.4849575892178693E-3</v>
      </c>
      <c r="O41">
        <v>5.7079067904920507E-3</v>
      </c>
    </row>
    <row r="42" spans="1:15" x14ac:dyDescent="0.2">
      <c r="A42" s="27"/>
    </row>
    <row r="43" spans="1:15" x14ac:dyDescent="0.2">
      <c r="A43" s="35" t="s">
        <v>22</v>
      </c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</row>
    <row r="44" spans="1:15" x14ac:dyDescent="0.2">
      <c r="A44" s="29" t="s">
        <v>16</v>
      </c>
    </row>
    <row r="45" spans="1:15" x14ac:dyDescent="0.2">
      <c r="A45" s="27" t="str" cm="1">
        <f t="array" ref="A45:O47">TRANSPOSE('[1]VNQ REIT data'!H1:J15)</f>
        <v>Year</v>
      </c>
      <c r="B45" s="27">
        <v>2024</v>
      </c>
      <c r="C45" s="27">
        <v>2023</v>
      </c>
      <c r="D45" s="27">
        <v>2022</v>
      </c>
      <c r="E45" s="27">
        <v>2021</v>
      </c>
      <c r="F45" s="27">
        <v>2020</v>
      </c>
      <c r="G45" s="27">
        <v>2019</v>
      </c>
      <c r="H45" s="27">
        <v>2018</v>
      </c>
      <c r="I45" s="27">
        <v>2017</v>
      </c>
      <c r="J45" s="27">
        <v>2016</v>
      </c>
      <c r="K45" s="27">
        <v>2015</v>
      </c>
      <c r="L45" s="27">
        <v>2014</v>
      </c>
      <c r="M45" s="27">
        <v>2013</v>
      </c>
      <c r="N45" s="27">
        <v>2012</v>
      </c>
      <c r="O45" s="27">
        <v>2011</v>
      </c>
    </row>
    <row r="46" spans="1:15" s="14" customFormat="1" x14ac:dyDescent="0.2">
      <c r="A46" s="28" t="str">
        <v>Returns (%)</v>
      </c>
      <c r="B46" s="14">
        <v>7.4379178605539886E-2</v>
      </c>
      <c r="C46" s="14">
        <v>2.3934897079940232E-3</v>
      </c>
      <c r="D46" s="14">
        <v>-8.2866864230051185E-2</v>
      </c>
      <c r="E46" s="14">
        <v>-0.10492189802534646</v>
      </c>
      <c r="F46" s="14">
        <v>0.29619253788361122</v>
      </c>
      <c r="G46" s="14">
        <v>-0.10148741418764351</v>
      </c>
      <c r="H46" s="14">
        <v>7.3050951503990547E-2</v>
      </c>
      <c r="I46" s="14">
        <v>-2.1386519283912109E-2</v>
      </c>
      <c r="J46" s="14">
        <v>-6.1351077027179568E-2</v>
      </c>
      <c r="K46" s="14">
        <v>0.18717365109117701</v>
      </c>
      <c r="L46" s="14">
        <v>-2.0042757883484974E-3</v>
      </c>
      <c r="M46" s="14">
        <v>8.9057043073341502E-2</v>
      </c>
      <c r="N46" s="14">
        <v>5.0282744918233035E-2</v>
      </c>
      <c r="O46" s="14">
        <v>8.8685524126456139E-2</v>
      </c>
    </row>
    <row r="47" spans="1:15" x14ac:dyDescent="0.2">
      <c r="A47" s="27" t="str">
        <v>StDev</v>
      </c>
      <c r="B47">
        <v>4.4920157386667804E-2</v>
      </c>
      <c r="C47">
        <v>5.9267079285237563E-2</v>
      </c>
      <c r="D47">
        <v>6.9324895111229565E-2</v>
      </c>
      <c r="E47">
        <v>5.8166487567694131E-2</v>
      </c>
      <c r="F47">
        <v>3.7247456613451774E-2</v>
      </c>
      <c r="G47">
        <v>6.7902579620887721E-2</v>
      </c>
      <c r="H47">
        <v>4.8535322899990428E-2</v>
      </c>
      <c r="I47">
        <v>3.2128059219094264E-2</v>
      </c>
      <c r="J47">
        <v>2.9300260654565428E-2</v>
      </c>
      <c r="K47">
        <v>4.3419872526674869E-2</v>
      </c>
      <c r="L47">
        <v>4.8947071036737989E-2</v>
      </c>
      <c r="M47">
        <v>3.6435077127425025E-2</v>
      </c>
      <c r="N47">
        <v>3.2248851463589606E-2</v>
      </c>
      <c r="O47">
        <v>6.4828246941227421E-2</v>
      </c>
    </row>
    <row r="48" spans="1:15" x14ac:dyDescent="0.2">
      <c r="A48" s="27"/>
    </row>
    <row r="49" spans="1:15" x14ac:dyDescent="0.2">
      <c r="A49" s="29" t="s">
        <v>17</v>
      </c>
    </row>
    <row r="50" spans="1:15" x14ac:dyDescent="0.2">
      <c r="A50" s="27" t="str" cm="1">
        <f t="array" ref="A50:O52">TRANSPOSE('[1]QAI HYLI HF data'!H1:J15)</f>
        <v>Year</v>
      </c>
      <c r="B50" s="27">
        <v>2024</v>
      </c>
      <c r="C50" s="27">
        <v>2023</v>
      </c>
      <c r="D50" s="27">
        <v>2022</v>
      </c>
      <c r="E50" s="27">
        <v>2021</v>
      </c>
      <c r="F50" s="27">
        <v>2020</v>
      </c>
      <c r="G50" s="27">
        <v>2019</v>
      </c>
      <c r="H50" s="27">
        <v>2018</v>
      </c>
      <c r="I50" s="27">
        <v>2017</v>
      </c>
      <c r="J50" s="27">
        <v>2016</v>
      </c>
      <c r="K50" s="27">
        <v>2015</v>
      </c>
      <c r="L50" s="27">
        <v>2014</v>
      </c>
      <c r="M50" s="27">
        <v>2013</v>
      </c>
      <c r="N50" s="27">
        <v>2012</v>
      </c>
      <c r="O50" s="27">
        <v>2011</v>
      </c>
    </row>
    <row r="51" spans="1:15" s="14" customFormat="1" x14ac:dyDescent="0.2">
      <c r="A51" s="28" t="str">
        <v>Returns (%)</v>
      </c>
      <c r="B51" s="14">
        <v>4.352159468438499E-2</v>
      </c>
      <c r="C51" s="14">
        <v>5.7624736472241533E-2</v>
      </c>
      <c r="D51" s="14">
        <v>-0.1047499213589177</v>
      </c>
      <c r="E51" s="14">
        <v>-4.3845912934543652E-3</v>
      </c>
      <c r="F51" s="14">
        <v>3.6688311688311881E-2</v>
      </c>
      <c r="G51" s="14">
        <v>6.6481994459833826E-2</v>
      </c>
      <c r="H51" s="14">
        <v>-5.124835742444156E-2</v>
      </c>
      <c r="I51" s="14">
        <v>6.1737007324730309E-2</v>
      </c>
      <c r="J51" s="14">
        <v>7.3787772312019495E-3</v>
      </c>
      <c r="K51" s="14">
        <v>-3.1643416127934643E-2</v>
      </c>
      <c r="L51" s="14">
        <v>1.4497756299620468E-2</v>
      </c>
      <c r="M51" s="14">
        <v>4.1711614527148777E-2</v>
      </c>
      <c r="N51" s="14">
        <v>2.6957163958641006E-2</v>
      </c>
      <c r="O51" s="14">
        <v>-1.1981728229302102E-2</v>
      </c>
    </row>
    <row r="52" spans="1:15" x14ac:dyDescent="0.2">
      <c r="A52" s="27" t="str">
        <v>StDev</v>
      </c>
      <c r="B52">
        <v>1.5734966515054443E-2</v>
      </c>
      <c r="C52">
        <v>1.6424722638403E-2</v>
      </c>
      <c r="D52">
        <v>2.3163448942966479E-2</v>
      </c>
      <c r="E52">
        <v>7.5893009868681291E-3</v>
      </c>
      <c r="F52">
        <v>2.3265434115576515E-2</v>
      </c>
      <c r="G52">
        <v>1.0017225036426897E-2</v>
      </c>
      <c r="H52">
        <v>1.4784890057488963E-2</v>
      </c>
      <c r="I52">
        <v>3.4210686551919122E-3</v>
      </c>
      <c r="J52">
        <v>1.0617534142468986E-2</v>
      </c>
      <c r="K52">
        <v>1.3419821411702318E-2</v>
      </c>
      <c r="L52">
        <v>1.4032229366376828E-2</v>
      </c>
      <c r="M52">
        <v>1.3357382504237342E-2</v>
      </c>
      <c r="N52">
        <v>9.6861085133575463E-3</v>
      </c>
      <c r="O52">
        <v>1.3067038025406198E-2</v>
      </c>
    </row>
    <row r="53" spans="1:15" x14ac:dyDescent="0.2">
      <c r="A53" s="27"/>
    </row>
    <row r="54" spans="1:15" x14ac:dyDescent="0.2">
      <c r="A54" s="29" t="s">
        <v>18</v>
      </c>
    </row>
    <row r="55" spans="1:15" x14ac:dyDescent="0.2">
      <c r="A55" s="27" t="str" cm="1">
        <f t="array" ref="A55:O57">TRANSPOSE('[1]IXC Energy Data'!H1:J15)</f>
        <v>Year</v>
      </c>
      <c r="B55" s="27">
        <v>2024</v>
      </c>
      <c r="C55" s="27">
        <v>2023</v>
      </c>
      <c r="D55" s="27">
        <v>2022</v>
      </c>
      <c r="E55" s="27">
        <v>2021</v>
      </c>
      <c r="F55" s="27">
        <v>2020</v>
      </c>
      <c r="G55" s="27">
        <v>2019</v>
      </c>
      <c r="H55" s="27">
        <v>2018</v>
      </c>
      <c r="I55" s="27">
        <v>2017</v>
      </c>
      <c r="J55" s="27">
        <v>2016</v>
      </c>
      <c r="K55" s="27">
        <v>2015</v>
      </c>
      <c r="L55" s="27">
        <v>2014</v>
      </c>
      <c r="M55" s="27">
        <v>2013</v>
      </c>
      <c r="N55" s="27">
        <v>2012</v>
      </c>
      <c r="O55" s="27">
        <v>2011</v>
      </c>
    </row>
    <row r="56" spans="1:15" x14ac:dyDescent="0.2">
      <c r="A56" s="27" t="str">
        <v>Returns (%)</v>
      </c>
      <c r="B56" s="14">
        <v>-2.3779084633086423E-2</v>
      </c>
      <c r="C56" s="14">
        <v>3.0777122339062934E-3</v>
      </c>
      <c r="D56" s="14">
        <v>0.41730279898218803</v>
      </c>
      <c r="E56" s="14">
        <v>0.35450516986706071</v>
      </c>
      <c r="F56" s="14">
        <v>-0.34122607849497233</v>
      </c>
      <c r="G56" s="14">
        <v>5.0425894378194114E-2</v>
      </c>
      <c r="H56" s="14">
        <v>-0.1744022503516176</v>
      </c>
      <c r="I56" s="14">
        <v>2.1551724137930828E-2</v>
      </c>
      <c r="J56" s="14">
        <v>0.24152693542632919</v>
      </c>
      <c r="K56" s="14">
        <v>-0.24630276956171004</v>
      </c>
      <c r="L56" s="14">
        <v>-0.13951874132346154</v>
      </c>
      <c r="M56" s="14">
        <v>0.12993464052287562</v>
      </c>
      <c r="N56" s="14">
        <v>1.5710919088769426E-3</v>
      </c>
      <c r="O56" s="14">
        <v>-2.227342549923228E-2</v>
      </c>
    </row>
    <row r="57" spans="1:15" x14ac:dyDescent="0.2">
      <c r="A57" s="27" t="str">
        <v>StDev</v>
      </c>
      <c r="B57">
        <v>4.3803563807701132E-2</v>
      </c>
      <c r="C57">
        <v>4.4663695170022687E-2</v>
      </c>
      <c r="D57">
        <v>0.10273599867521806</v>
      </c>
      <c r="E57">
        <v>5.9919878159150709E-2</v>
      </c>
      <c r="F57">
        <v>0.14319712193332851</v>
      </c>
      <c r="G57">
        <v>4.9387985020536818E-2</v>
      </c>
      <c r="H57">
        <v>5.8679178702972151E-2</v>
      </c>
      <c r="I57">
        <v>3.400513954287139E-2</v>
      </c>
      <c r="J57">
        <v>4.0756068878863135E-2</v>
      </c>
      <c r="K57">
        <v>6.4933370875931457E-2</v>
      </c>
      <c r="L57">
        <v>5.0350240927795394E-2</v>
      </c>
      <c r="M57">
        <v>2.9125097875958211E-2</v>
      </c>
      <c r="N57">
        <v>4.5106512349941154E-2</v>
      </c>
      <c r="O57">
        <v>7.3144163659262032E-2</v>
      </c>
    </row>
    <row r="58" spans="1:15" x14ac:dyDescent="0.2">
      <c r="A58" s="27"/>
    </row>
    <row r="59" spans="1:15" x14ac:dyDescent="0.2">
      <c r="A59" s="29" t="s">
        <v>19</v>
      </c>
    </row>
    <row r="60" spans="1:15" x14ac:dyDescent="0.2">
      <c r="A60" s="27" t="str" cm="1">
        <f t="array" ref="A60:M62">TRANSPOSE('[1]RLY Multi Asset Data'!H1:J13)</f>
        <v>Year</v>
      </c>
      <c r="B60" s="27">
        <v>2024</v>
      </c>
      <c r="C60" s="27">
        <v>2023</v>
      </c>
      <c r="D60" s="27">
        <v>2022</v>
      </c>
      <c r="E60" s="27">
        <v>2021</v>
      </c>
      <c r="F60" s="27">
        <v>2020</v>
      </c>
      <c r="G60" s="27">
        <v>2019</v>
      </c>
      <c r="H60" s="27">
        <v>2018</v>
      </c>
      <c r="I60" s="27">
        <v>2017</v>
      </c>
      <c r="J60" s="27">
        <v>2016</v>
      </c>
      <c r="K60" s="27">
        <v>2015</v>
      </c>
      <c r="L60" s="27">
        <v>2014</v>
      </c>
      <c r="M60" s="27">
        <v>2013</v>
      </c>
    </row>
    <row r="61" spans="1:15" x14ac:dyDescent="0.2">
      <c r="A61" s="27" t="str">
        <v>Returns (%)</v>
      </c>
      <c r="B61" s="14">
        <v>-7.3475385745773725E-3</v>
      </c>
      <c r="C61" s="14">
        <v>-1.1619462599855135E-2</v>
      </c>
      <c r="D61" s="14">
        <v>1.9999999999999796E-2</v>
      </c>
      <c r="E61" s="14">
        <v>9.4890510948905105E-2</v>
      </c>
      <c r="F61" s="14">
        <v>-2.9515938606847314E-2</v>
      </c>
      <c r="G61" s="14">
        <v>0.11692307692307713</v>
      </c>
      <c r="H61" s="14">
        <v>-0.13923571698827086</v>
      </c>
      <c r="I61" s="14">
        <v>8.2752970094223999E-2</v>
      </c>
      <c r="J61" s="14">
        <v>9.707865168539298E-2</v>
      </c>
      <c r="K61" s="14">
        <v>-0.16447615471272992</v>
      </c>
      <c r="L61" s="14">
        <v>-8.362009635237444E-2</v>
      </c>
      <c r="M61" s="14">
        <v>-5.156657963446476E-2</v>
      </c>
    </row>
    <row r="62" spans="1:15" x14ac:dyDescent="0.2">
      <c r="A62" s="27" t="str">
        <v>StDev</v>
      </c>
      <c r="B62">
        <v>2.937485180411583E-2</v>
      </c>
      <c r="C62">
        <v>3.5336323986317468E-2</v>
      </c>
      <c r="D62">
        <v>5.8783018285707159E-2</v>
      </c>
      <c r="E62">
        <v>3.4348042377166529E-2</v>
      </c>
      <c r="F62">
        <v>6.6565565780640365E-2</v>
      </c>
      <c r="G62">
        <v>2.8864097970376493E-2</v>
      </c>
      <c r="H62">
        <v>3.0147691734404874E-2</v>
      </c>
      <c r="I62">
        <v>1.3672946325895609E-2</v>
      </c>
      <c r="J62">
        <v>2.4210426934086999E-2</v>
      </c>
      <c r="K62">
        <v>3.1515161451894605E-2</v>
      </c>
      <c r="L62">
        <v>2.982361034536565E-2</v>
      </c>
      <c r="M62">
        <v>2.3461134815144339E-2</v>
      </c>
    </row>
    <row r="63" spans="1:15" x14ac:dyDescent="0.2">
      <c r="A63" s="27"/>
    </row>
    <row r="64" spans="1:15" x14ac:dyDescent="0.2">
      <c r="A64" s="27"/>
    </row>
    <row r="65" spans="1:13" x14ac:dyDescent="0.2">
      <c r="A65" s="27"/>
    </row>
    <row r="66" spans="1:13" x14ac:dyDescent="0.2">
      <c r="A66" s="37" t="s">
        <v>23</v>
      </c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</row>
    <row r="67" spans="1:13" x14ac:dyDescent="0.2">
      <c r="A67" s="27" t="s">
        <v>6</v>
      </c>
      <c r="B67" s="25" t="str" cm="1">
        <f t="array" ref="B67:M67">TRANSPOSE(U2:U13)</f>
        <v>VV</v>
      </c>
      <c r="C67" s="25" t="str">
        <v>VB</v>
      </c>
      <c r="D67" s="25" t="str">
        <v>VTIAX</v>
      </c>
      <c r="E67" s="25" t="str">
        <v>VWO</v>
      </c>
      <c r="F67" s="33" t="str">
        <v>BND</v>
      </c>
      <c r="G67" s="33" t="str">
        <v>VWEXS</v>
      </c>
      <c r="H67" s="33" t="str">
        <v>VFTSX</v>
      </c>
      <c r="I67" s="33" t="str">
        <v>VMBS</v>
      </c>
      <c r="J67" s="35" t="str">
        <v>VNQ REIT</v>
      </c>
      <c r="K67" s="35" t="str">
        <v xml:space="preserve">QAI HYLI HF </v>
      </c>
      <c r="L67" s="35" t="str">
        <v xml:space="preserve">IXC Energy </v>
      </c>
      <c r="M67" s="35" t="str">
        <v xml:space="preserve">RLY Multi-Asset </v>
      </c>
    </row>
    <row r="68" spans="1:13" x14ac:dyDescent="0.2">
      <c r="A68" s="27" cm="1">
        <f t="array" ref="A68:B81">TRANSPOSE(B3:O4)</f>
        <v>2024</v>
      </c>
      <c r="B68" s="14">
        <v>0.23630529452211779</v>
      </c>
      <c r="C68" s="14" cm="1">
        <f t="array" ref="C68:C81">TRANSPOSE(B9:O9)</f>
        <v>0.12633009890779512</v>
      </c>
      <c r="D68" s="14" cm="1">
        <f t="array" ref="D68:D81">TRANSPOSE(B14:O14)</f>
        <v>1.6735679779158019E-2</v>
      </c>
      <c r="E68" s="14" cm="1">
        <f t="array" ref="E68:E81">TRANSPOSE(B25:O25)</f>
        <v>-2.2297756628144483E-2</v>
      </c>
      <c r="F68" s="14" cm="1">
        <f t="array" ref="F68:F81">TRANSPOSE(B30:O30)</f>
        <v>-7.380073800737974E-2</v>
      </c>
      <c r="G68" s="14" cm="1">
        <f t="array" ref="G68:G81">TRANSPOSE(B35:O35)</f>
        <v>7.82013685239491E-3</v>
      </c>
      <c r="H68" s="14" cm="1">
        <f t="array" ref="H68:H81">TRANSPOSE(B40:O40)</f>
        <v>-2.2001725625539148E-2</v>
      </c>
      <c r="I68" s="14" cm="1">
        <f t="array" ref="I68:I81">TRANSPOSE(B46:O46)</f>
        <v>7.4379178605539886E-2</v>
      </c>
      <c r="J68" s="14" cm="1">
        <f t="array" ref="J68:J81">TRANSPOSE(B51:O51)</f>
        <v>4.352159468438499E-2</v>
      </c>
      <c r="K68" s="14" cm="1">
        <f t="array" ref="K68:K81">TRANSPOSE(B51:O51)</f>
        <v>4.352159468438499E-2</v>
      </c>
      <c r="L68" s="14" cm="1">
        <f t="array" ref="L68:L81">TRANSPOSE(B56:O56)</f>
        <v>-2.3779084633086423E-2</v>
      </c>
      <c r="M68" s="14" cm="1">
        <f t="array" ref="M68:M79">TRANSPOSE(B61:M61)</f>
        <v>-7.3475385745773725E-3</v>
      </c>
    </row>
    <row r="69" spans="1:13" x14ac:dyDescent="0.2">
      <c r="A69" s="27">
        <v>2023</v>
      </c>
      <c r="B69" s="14">
        <v>0.25229621125143575</v>
      </c>
      <c r="C69" s="14">
        <v>0.16230794377247504</v>
      </c>
      <c r="D69" s="14">
        <v>0.12064965197215782</v>
      </c>
      <c r="E69" s="14">
        <v>2.3802895322939666E-2</v>
      </c>
      <c r="F69" s="14">
        <v>4.2307692307692601E-2</v>
      </c>
      <c r="G69" s="14">
        <v>2.8140703517588017E-2</v>
      </c>
      <c r="H69" s="14">
        <v>1.8453427065026506E-2</v>
      </c>
      <c r="I69" s="14">
        <v>2.3934897079940232E-3</v>
      </c>
      <c r="J69" s="14">
        <v>5.7624736472241533E-2</v>
      </c>
      <c r="K69" s="14">
        <v>5.7624736472241533E-2</v>
      </c>
      <c r="L69" s="14">
        <v>3.0777122339062934E-3</v>
      </c>
      <c r="M69" s="14">
        <v>-1.1619462599855135E-2</v>
      </c>
    </row>
    <row r="70" spans="1:13" x14ac:dyDescent="0.2">
      <c r="A70" s="27">
        <v>2022</v>
      </c>
      <c r="B70" s="14">
        <v>-0.21183603293819586</v>
      </c>
      <c r="C70" s="14">
        <v>-0.18791203929029665</v>
      </c>
      <c r="D70" s="14">
        <v>-0.18640868334119864</v>
      </c>
      <c r="E70" s="14">
        <v>-0.15233038348082595</v>
      </c>
      <c r="F70" s="14">
        <v>-0.2857142857142857</v>
      </c>
      <c r="G70" s="14">
        <v>-7.6137418755802933E-2</v>
      </c>
      <c r="H70" s="14">
        <v>-0.13853141559424653</v>
      </c>
      <c r="I70" s="14">
        <v>-8.2866864230051185E-2</v>
      </c>
      <c r="J70" s="14">
        <v>-0.1047499213589177</v>
      </c>
      <c r="K70" s="14">
        <v>-0.1047499213589177</v>
      </c>
      <c r="L70" s="14">
        <v>0.41730279898218803</v>
      </c>
      <c r="M70" s="14">
        <v>1.9999999999999796E-2</v>
      </c>
    </row>
    <row r="71" spans="1:13" x14ac:dyDescent="0.2">
      <c r="A71" s="27">
        <v>2021</v>
      </c>
      <c r="B71" s="14">
        <v>0.25765335154205049</v>
      </c>
      <c r="C71" s="14">
        <v>0.16093075816724878</v>
      </c>
      <c r="D71" s="14">
        <v>5.6682180851063357E-2</v>
      </c>
      <c r="E71" s="14">
        <v>-3.9006690100918617E-2</v>
      </c>
      <c r="F71" s="14">
        <v>-7.3791348600508844E-2</v>
      </c>
      <c r="G71" s="14">
        <v>-2.3572076155938593E-2</v>
      </c>
      <c r="H71" s="14">
        <v>-2.274828925466954E-2</v>
      </c>
      <c r="I71" s="14">
        <v>-0.10492189802534646</v>
      </c>
      <c r="J71" s="14">
        <v>-4.3845912934543652E-3</v>
      </c>
      <c r="K71" s="14">
        <v>-4.3845912934543652E-3</v>
      </c>
      <c r="L71" s="14">
        <v>0.35450516986706071</v>
      </c>
      <c r="M71" s="14">
        <v>9.4890510948905105E-2</v>
      </c>
    </row>
    <row r="72" spans="1:13" x14ac:dyDescent="0.2">
      <c r="A72" s="27">
        <v>2020</v>
      </c>
      <c r="B72" s="14">
        <v>0.18871753246753231</v>
      </c>
      <c r="C72" s="14">
        <v>0.17531997102149233</v>
      </c>
      <c r="D72" s="14">
        <v>8.0265756868378224E-2</v>
      </c>
      <c r="E72" s="14">
        <v>5.1633675172907179E-2</v>
      </c>
      <c r="F72" s="14">
        <v>7.6712328767123195E-2</v>
      </c>
      <c r="G72" s="14">
        <v>2.7958993476235205E-2</v>
      </c>
      <c r="H72" s="14">
        <v>1.6926838442731018E-2</v>
      </c>
      <c r="I72" s="14">
        <v>0.29619253788361122</v>
      </c>
      <c r="J72" s="14">
        <v>3.6688311688311881E-2</v>
      </c>
      <c r="K72" s="14">
        <v>3.6688311688311881E-2</v>
      </c>
      <c r="L72" s="14">
        <v>-0.34122607849497233</v>
      </c>
      <c r="M72" s="14">
        <v>-2.9515938606847314E-2</v>
      </c>
    </row>
    <row r="73" spans="1:13" x14ac:dyDescent="0.2">
      <c r="A73" s="27">
        <v>2019</v>
      </c>
      <c r="B73" s="14">
        <v>0.28713216089152027</v>
      </c>
      <c r="C73" s="14">
        <v>0.2549435563300253</v>
      </c>
      <c r="D73" s="14">
        <v>0.17937314697162177</v>
      </c>
      <c r="E73" s="14">
        <v>5.8704709001389244E-2</v>
      </c>
      <c r="F73" s="14">
        <v>0.14420062695924818</v>
      </c>
      <c r="G73" s="14">
        <v>2.7777777777777901E-2</v>
      </c>
      <c r="H73" s="14">
        <v>3.2627694697999532E-2</v>
      </c>
      <c r="I73" s="14">
        <v>-0.10148741418764351</v>
      </c>
      <c r="J73" s="14">
        <v>6.6481994459833826E-2</v>
      </c>
      <c r="K73" s="14">
        <v>6.6481994459833826E-2</v>
      </c>
      <c r="L73" s="14">
        <v>5.0425894378194114E-2</v>
      </c>
      <c r="M73" s="14">
        <v>0.11692307692307713</v>
      </c>
    </row>
    <row r="74" spans="1:13" x14ac:dyDescent="0.2">
      <c r="A74" s="27">
        <v>2018</v>
      </c>
      <c r="B74" s="14">
        <v>-6.2979278838310004E-2</v>
      </c>
      <c r="C74" s="14">
        <v>-0.10696887686062273</v>
      </c>
      <c r="D74" s="14">
        <v>-0.16880830839640903</v>
      </c>
      <c r="E74" s="14">
        <v>-2.8932205467696481E-2</v>
      </c>
      <c r="F74" s="14">
        <v>-0.10140845070422499</v>
      </c>
      <c r="G74" s="14">
        <v>-1.7873941674506288E-2</v>
      </c>
      <c r="H74" s="14">
        <v>-1.8115942028985588E-2</v>
      </c>
      <c r="I74" s="14">
        <v>7.3050951503990547E-2</v>
      </c>
      <c r="J74" s="14">
        <v>-5.124835742444156E-2</v>
      </c>
      <c r="K74" s="14">
        <v>-5.124835742444156E-2</v>
      </c>
      <c r="L74" s="14">
        <v>-0.1744022503516176</v>
      </c>
      <c r="M74" s="14">
        <v>-0.13923571698827086</v>
      </c>
    </row>
    <row r="75" spans="1:13" x14ac:dyDescent="0.2">
      <c r="A75" s="27">
        <v>2017</v>
      </c>
      <c r="B75" s="14">
        <v>0.19742111946859353</v>
      </c>
      <c r="C75" s="14">
        <v>0.14609181141439187</v>
      </c>
      <c r="D75" s="14">
        <v>0.23823016564952004</v>
      </c>
      <c r="E75" s="14">
        <v>9.6546602302260975E-3</v>
      </c>
      <c r="F75" s="14">
        <v>5.8648111332008313E-2</v>
      </c>
      <c r="G75" s="14">
        <v>0</v>
      </c>
      <c r="H75" s="14">
        <v>2.8686173264484971E-3</v>
      </c>
      <c r="I75" s="14">
        <v>-2.1386519283912109E-2</v>
      </c>
      <c r="J75" s="14">
        <v>6.1737007324730309E-2</v>
      </c>
      <c r="K75" s="14">
        <v>6.1737007324730309E-2</v>
      </c>
      <c r="L75" s="14">
        <v>2.1551724137930828E-2</v>
      </c>
      <c r="M75" s="14">
        <v>8.2752970094223999E-2</v>
      </c>
    </row>
    <row r="76" spans="1:13" x14ac:dyDescent="0.2">
      <c r="A76" s="27">
        <v>2016</v>
      </c>
      <c r="B76" s="14">
        <v>9.486631016042768E-2</v>
      </c>
      <c r="C76" s="14">
        <v>0.1655820679681852</v>
      </c>
      <c r="D76" s="14">
        <v>1.7069385945466697E-2</v>
      </c>
      <c r="E76" s="14">
        <v>3.7147102526025044E-4</v>
      </c>
      <c r="F76" s="14">
        <v>1.616161616161671E-2</v>
      </c>
      <c r="G76" s="14">
        <v>6.6287878787880672E-3</v>
      </c>
      <c r="H76" s="14">
        <v>-8.1562974203339689E-3</v>
      </c>
      <c r="I76" s="14">
        <v>-6.1351077027179568E-2</v>
      </c>
      <c r="J76" s="14">
        <v>7.3787772312019495E-3</v>
      </c>
      <c r="K76" s="14">
        <v>7.3787772312019495E-3</v>
      </c>
      <c r="L76" s="14">
        <v>0.24152693542632919</v>
      </c>
      <c r="M76" s="14">
        <v>9.707865168539298E-2</v>
      </c>
    </row>
    <row r="77" spans="1:13" x14ac:dyDescent="0.2">
      <c r="A77" s="27">
        <v>2015</v>
      </c>
      <c r="B77" s="14">
        <v>-9.4289649327262692E-3</v>
      </c>
      <c r="C77" s="14">
        <v>-5.1602948739928323E-2</v>
      </c>
      <c r="D77" s="14">
        <v>-6.6818369880016992E-2</v>
      </c>
      <c r="E77" s="14">
        <v>-1.9545951195823474E-2</v>
      </c>
      <c r="F77" s="14">
        <v>-7.906976744186045E-2</v>
      </c>
      <c r="G77" s="14">
        <v>-9.3808630393995562E-3</v>
      </c>
      <c r="H77" s="14">
        <v>-5.4706659120914436E-3</v>
      </c>
      <c r="I77" s="14">
        <v>0.18717365109117701</v>
      </c>
      <c r="J77" s="14">
        <v>-3.1643416127934643E-2</v>
      </c>
      <c r="K77" s="14">
        <v>-3.1643416127934643E-2</v>
      </c>
      <c r="L77" s="14">
        <v>-0.24630276956171004</v>
      </c>
      <c r="M77" s="14">
        <v>-0.16447615471272992</v>
      </c>
    </row>
    <row r="78" spans="1:13" x14ac:dyDescent="0.2">
      <c r="A78" s="27">
        <v>2014</v>
      </c>
      <c r="B78" s="14">
        <v>0.11308962264150879</v>
      </c>
      <c r="C78" s="14">
        <v>6.102773988176402E-2</v>
      </c>
      <c r="D78" s="14">
        <v>-7.7128675066819641E-2</v>
      </c>
      <c r="E78" s="14">
        <v>2.898188632104981E-2</v>
      </c>
      <c r="F78" s="14">
        <v>0.11398963730569966</v>
      </c>
      <c r="G78" s="14">
        <v>-3.7383177570090576E-3</v>
      </c>
      <c r="H78" s="14">
        <v>3.8743709927732572E-2</v>
      </c>
      <c r="I78" s="14">
        <v>-2.0042757883484974E-3</v>
      </c>
      <c r="J78" s="14">
        <v>1.4497756299620468E-2</v>
      </c>
      <c r="K78" s="14">
        <v>1.4497756299620468E-2</v>
      </c>
      <c r="L78" s="14">
        <v>-0.13951874132346154</v>
      </c>
      <c r="M78" s="14">
        <v>-8.362009635237444E-2</v>
      </c>
    </row>
    <row r="79" spans="1:13" x14ac:dyDescent="0.2">
      <c r="A79" s="27">
        <v>2013</v>
      </c>
      <c r="B79" s="14">
        <v>0.30141190914671512</v>
      </c>
      <c r="C79" s="14">
        <v>0.35908529048207738</v>
      </c>
      <c r="D79" s="14">
        <v>0.11281070745697863</v>
      </c>
      <c r="E79" s="14">
        <v>-4.7364036653576136E-2</v>
      </c>
      <c r="F79" s="14">
        <v>-0.11059907834101368</v>
      </c>
      <c r="G79" s="14">
        <v>-1.2003693444137098E-2</v>
      </c>
      <c r="H79" s="14">
        <v>-2.2360153256705262E-2</v>
      </c>
      <c r="I79" s="14">
        <v>8.9057043073341502E-2</v>
      </c>
      <c r="J79" s="14">
        <v>4.1711614527148777E-2</v>
      </c>
      <c r="K79" s="14">
        <v>4.1711614527148777E-2</v>
      </c>
      <c r="L79" s="14">
        <v>0.12993464052287562</v>
      </c>
      <c r="M79" s="14">
        <v>-5.156657963446476E-2</v>
      </c>
    </row>
    <row r="80" spans="1:13" x14ac:dyDescent="0.2">
      <c r="A80" s="27">
        <v>2012</v>
      </c>
      <c r="B80" s="14">
        <v>0.13717277486910939</v>
      </c>
      <c r="C80" s="14">
        <v>0.16118845988230257</v>
      </c>
      <c r="D80" s="14">
        <v>0.15085574572127114</v>
      </c>
      <c r="E80" s="14">
        <v>5.8654536748861119E-3</v>
      </c>
      <c r="F80" s="14">
        <v>5.4421768707483054E-2</v>
      </c>
      <c r="G80" s="14">
        <v>1.7857142857142794E-2</v>
      </c>
      <c r="H80" s="14">
        <v>6.1700196029679244E-3</v>
      </c>
      <c r="I80" s="14">
        <v>5.0282744918233035E-2</v>
      </c>
      <c r="J80" s="14">
        <v>2.6957163958641006E-2</v>
      </c>
      <c r="K80" s="14">
        <v>2.6957163958641006E-2</v>
      </c>
      <c r="L80" s="14">
        <v>1.5710919088769426E-3</v>
      </c>
      <c r="M80" s="14"/>
    </row>
    <row r="81" spans="1:13" x14ac:dyDescent="0.2">
      <c r="A81" s="27">
        <v>2011</v>
      </c>
      <c r="B81" s="14">
        <v>-5.3810102412775729E-3</v>
      </c>
      <c r="C81" s="14">
        <v>-4.0754509155995766E-2</v>
      </c>
      <c r="D81" s="14">
        <v>-0.18003207698476364</v>
      </c>
      <c r="E81" s="14">
        <v>4.0737510900709983E-2</v>
      </c>
      <c r="F81" s="14">
        <v>0.10171306209850073</v>
      </c>
      <c r="G81" s="14">
        <v>-1.20705663881151E-2</v>
      </c>
      <c r="H81" s="14">
        <v>3.1819809069212113E-2</v>
      </c>
      <c r="I81" s="14">
        <v>8.8685524126456139E-2</v>
      </c>
      <c r="J81" s="14">
        <v>-1.1981728229302102E-2</v>
      </c>
      <c r="K81" s="14">
        <v>-1.1981728229302102E-2</v>
      </c>
      <c r="L81" s="14">
        <v>-2.227342549923228E-2</v>
      </c>
      <c r="M81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VBAIX 6040 Data</vt:lpstr>
      <vt:lpstr>Active portfolio 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Bella Carrozza</cp:lastModifiedBy>
  <cp:revision/>
  <dcterms:created xsi:type="dcterms:W3CDTF">2025-06-18T13:07:25Z</dcterms:created>
  <dcterms:modified xsi:type="dcterms:W3CDTF">2025-06-18T13:12:44Z</dcterms:modified>
  <cp:category/>
  <cp:contentStatus/>
</cp:coreProperties>
</file>